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600" firstSheet="0" activeTab="11" autoFilterDateGrouping="1"/>
  </bookViews>
  <sheets>
    <sheet xmlns:r="http://schemas.openxmlformats.org/officeDocument/2006/relationships" name="beer_1" sheetId="1" state="visible" r:id="rId1"/>
    <sheet xmlns:r="http://schemas.openxmlformats.org/officeDocument/2006/relationships" name="beer_2" sheetId="2" state="visible" r:id="rId2"/>
    <sheet xmlns:r="http://schemas.openxmlformats.org/officeDocument/2006/relationships" name="beer_3" sheetId="3" state="visible" r:id="rId3"/>
    <sheet xmlns:r="http://schemas.openxmlformats.org/officeDocument/2006/relationships" name="beer_4" sheetId="4" state="visible" r:id="rId4"/>
    <sheet xmlns:r="http://schemas.openxmlformats.org/officeDocument/2006/relationships" name="beer_5" sheetId="5" state="visible" r:id="rId5"/>
    <sheet xmlns:r="http://schemas.openxmlformats.org/officeDocument/2006/relationships" name="beer_6" sheetId="6" state="visible" r:id="rId6"/>
    <sheet xmlns:r="http://schemas.openxmlformats.org/officeDocument/2006/relationships" name="beer_7" sheetId="7" state="visible" r:id="rId7"/>
    <sheet xmlns:r="http://schemas.openxmlformats.org/officeDocument/2006/relationships" name="beer_8" sheetId="8" state="visible" r:id="rId8"/>
    <sheet xmlns:r="http://schemas.openxmlformats.org/officeDocument/2006/relationships" name="beer_9" sheetId="9" state="visible" r:id="rId9"/>
    <sheet xmlns:r="http://schemas.openxmlformats.org/officeDocument/2006/relationships" name="beer_10" sheetId="10" state="visible" r:id="rId10"/>
    <sheet xmlns:r="http://schemas.openxmlformats.org/officeDocument/2006/relationships" name="beer_11" sheetId="11" state="visible" r:id="rId11"/>
    <sheet xmlns:r="http://schemas.openxmlformats.org/officeDocument/2006/relationships" name="beer_12" sheetId="12" state="visible" r:id="rId12"/>
    <sheet xmlns:r="http://schemas.openxmlformats.org/officeDocument/2006/relationships" name="summary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0"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sz val="12"/>
    </font>
    <font>
      <name val="Arial"/>
      <charset val="1"/>
      <family val="2"/>
      <sz val="14"/>
    </font>
    <font>
      <name val="Arial"/>
      <charset val="1"/>
      <family val="2"/>
      <sz val="16"/>
    </font>
    <font>
      <name val="Arial"/>
      <charset val="1"/>
      <family val="2"/>
      <b val="1"/>
      <sz val="16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Arial"/>
      <charset val="1"/>
      <family val="2"/>
      <b val="1"/>
      <sz val="12"/>
    </font>
    <font>
      <name val="Arial"/>
      <charset val="1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rgb="FFEEEEEE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horizontal="right"/>
    </xf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horizontal="right"/>
    </xf>
    <xf numFmtId="0" fontId="2" fillId="0" borderId="5" pivotButton="0" quotePrefix="0" xfId="0"/>
    <xf numFmtId="0" fontId="2" fillId="0" borderId="0" pivotButton="0" quotePrefix="0" xfId="0"/>
    <xf numFmtId="0" fontId="7" fillId="0" borderId="5" pivotButton="0" quotePrefix="0" xfId="0"/>
    <xf numFmtId="0" fontId="1" fillId="0" borderId="6" pivotButton="0" quotePrefix="0" xfId="0"/>
    <xf numFmtId="0" fontId="2" fillId="0" borderId="0" applyAlignment="1" pivotButton="0" quotePrefix="0" xfId="0">
      <alignment horizontal="center"/>
    </xf>
    <xf numFmtId="0" fontId="6" fillId="0" borderId="4" applyAlignment="1" pivotButton="0" quotePrefix="0" xfId="0">
      <alignment horizontal="right"/>
    </xf>
    <xf numFmtId="0" fontId="1" fillId="0" borderId="4" pivotButton="0" quotePrefix="0" xfId="0"/>
    <xf numFmtId="0" fontId="6" fillId="0" borderId="4" applyAlignment="1" pivotButton="0" quotePrefix="0" xfId="0">
      <alignment horizontal="left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1" pivotButton="0" quotePrefix="0" xfId="0"/>
    <xf numFmtId="0" fontId="6" fillId="0" borderId="2" pivotButton="0" quotePrefix="0" xfId="0"/>
    <xf numFmtId="0" fontId="2" fillId="0" borderId="4" pivotButton="0" quotePrefix="0" xfId="0"/>
    <xf numFmtId="0" fontId="6" fillId="0" borderId="4" pivotButton="0" quotePrefix="0" xfId="0"/>
    <xf numFmtId="0" fontId="6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right"/>
    </xf>
    <xf numFmtId="0" fontId="1" fillId="2" borderId="2" pivotButton="0" quotePrefix="0" xfId="0"/>
    <xf numFmtId="0" fontId="1" fillId="2" borderId="3" pivotButton="0" quotePrefix="0" xfId="0"/>
    <xf numFmtId="0" fontId="3" fillId="2" borderId="4" pivotButton="0" quotePrefix="0" xfId="0"/>
    <xf numFmtId="0" fontId="2" fillId="2" borderId="5" pivotButton="0" quotePrefix="0" xfId="0"/>
    <xf numFmtId="0" fontId="2" fillId="2" borderId="0" pivotButton="0" quotePrefix="0" xfId="0"/>
    <xf numFmtId="0" fontId="1" fillId="2" borderId="6" pivotButton="0" quotePrefix="0" xfId="0"/>
    <xf numFmtId="0" fontId="2" fillId="2" borderId="0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6" fillId="2" borderId="4" applyAlignment="1" pivotButton="0" quotePrefix="0" xfId="0">
      <alignment horizontal="right"/>
    </xf>
    <xf numFmtId="0" fontId="1" fillId="2" borderId="7" pivotButton="0" quotePrefix="0" xfId="0"/>
    <xf numFmtId="0" fontId="2" fillId="2" borderId="8" applyAlignment="1" pivotButton="0" quotePrefix="0" xfId="0">
      <alignment horizontal="center"/>
    </xf>
    <xf numFmtId="0" fontId="1" fillId="2" borderId="9" pivotButton="0" quotePrefix="0" xfId="0"/>
    <xf numFmtId="0" fontId="9" fillId="0" borderId="0" pivotButton="0" quotePrefix="0" xfId="0"/>
    <xf numFmtId="0" fontId="1" fillId="0" borderId="0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3" sqref="S3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n"/>
      <c r="X7" s="14" t="n"/>
      <c r="Y7" s="13" t="inlineStr">
        <is>
          <t>X</t>
        </is>
      </c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inlineStr">
        <is>
          <t>X</t>
        </is>
      </c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inlineStr">
        <is>
          <t>X</t>
        </is>
      </c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inlineStr">
        <is>
          <t>X</t>
        </is>
      </c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inlineStr">
        <is>
          <t>X</t>
        </is>
      </c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inlineStr">
        <is>
          <t>X</t>
        </is>
      </c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inlineStr">
        <is>
          <t>X</t>
        </is>
      </c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inlineStr">
        <is>
          <t>X</t>
        </is>
      </c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inlineStr">
        <is>
          <t>X</t>
        </is>
      </c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inlineStr">
        <is>
          <t>X</t>
        </is>
      </c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inlineStr">
        <is>
          <t>X</t>
        </is>
      </c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inlineStr">
        <is>
          <t>X</t>
        </is>
      </c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inlineStr">
        <is>
          <t>X</t>
        </is>
      </c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inlineStr">
        <is>
          <t>X</t>
        </is>
      </c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n"/>
      <c r="X76" s="14" t="n"/>
      <c r="Y76" s="13" t="inlineStr">
        <is>
          <t>X</t>
        </is>
      </c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n"/>
      <c r="X90" s="39" t="n"/>
      <c r="Y90" s="38" t="inlineStr">
        <is>
          <t>X</t>
        </is>
      </c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inlineStr">
        <is>
          <t>X</t>
        </is>
      </c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inlineStr">
        <is>
          <t>X</t>
        </is>
      </c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inlineStr">
        <is>
          <t>X</t>
        </is>
      </c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inlineStr">
        <is>
          <t>X</t>
        </is>
      </c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inlineStr">
        <is>
          <t>X</t>
        </is>
      </c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inlineStr">
        <is>
          <t>X</t>
        </is>
      </c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inlineStr">
        <is>
          <t>X</t>
        </is>
      </c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inlineStr">
        <is>
          <t>X</t>
        </is>
      </c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inlineStr">
        <is>
          <t>X</t>
        </is>
      </c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inlineStr">
        <is>
          <t>X</t>
        </is>
      </c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inlineStr">
        <is>
          <t>X</t>
        </is>
      </c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inlineStr">
        <is>
          <t>X</t>
        </is>
      </c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inlineStr">
        <is>
          <t>X</t>
        </is>
      </c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inlineStr">
        <is>
          <t>X</t>
        </is>
      </c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inlineStr">
        <is>
          <t>X</t>
        </is>
      </c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inlineStr">
        <is>
          <t>X</t>
        </is>
      </c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inlineStr">
        <is>
          <t>X</t>
        </is>
      </c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inlineStr">
        <is>
          <t>X</t>
        </is>
      </c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inlineStr">
        <is>
          <t>X</t>
        </is>
      </c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inlineStr">
        <is>
          <t>X</t>
        </is>
      </c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inlineStr">
        <is>
          <t>X</t>
        </is>
      </c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3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inlineStr">
        <is>
          <t>X</t>
        </is>
      </c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inlineStr">
        <is>
          <t>X</t>
        </is>
      </c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inlineStr">
        <is>
          <t>X</t>
        </is>
      </c>
      <c r="Z50" s="14" t="n"/>
      <c r="AA50" s="15" t="n"/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inlineStr">
        <is>
          <t>X</t>
        </is>
      </c>
      <c r="J54" s="14" t="n"/>
      <c r="K54" s="15" t="n"/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inlineStr">
        <is>
          <t>X</t>
        </is>
      </c>
      <c r="J58" s="14" t="n"/>
      <c r="K58" s="15" t="n"/>
      <c r="L58" s="14" t="n"/>
      <c r="M58" s="13" t="n"/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inlineStr">
        <is>
          <t>X</t>
        </is>
      </c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inlineStr">
        <is>
          <t>X</t>
        </is>
      </c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inlineStr">
        <is>
          <t>X</t>
        </is>
      </c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inlineStr">
        <is>
          <t>X</t>
        </is>
      </c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inlineStr">
        <is>
          <t>X</t>
        </is>
      </c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inlineStr">
        <is>
          <t>X</t>
        </is>
      </c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inlineStr">
        <is>
          <t>X</t>
        </is>
      </c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inlineStr">
        <is>
          <t>X</t>
        </is>
      </c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inlineStr">
        <is>
          <t>X</t>
        </is>
      </c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4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n"/>
      <c r="J7" s="14" t="n"/>
      <c r="K7" s="15" t="n"/>
      <c r="L7" s="14" t="n"/>
      <c r="M7" s="13" t="inlineStr">
        <is>
          <t>X</t>
        </is>
      </c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inlineStr">
        <is>
          <t>X</t>
        </is>
      </c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inlineStr">
        <is>
          <t>X</t>
        </is>
      </c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inlineStr">
        <is>
          <t>X</t>
        </is>
      </c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inlineStr">
        <is>
          <t>X</t>
        </is>
      </c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inlineStr">
        <is>
          <t>X</t>
        </is>
      </c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inlineStr">
        <is>
          <t>X</t>
        </is>
      </c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inlineStr">
        <is>
          <t>X</t>
        </is>
      </c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inlineStr">
        <is>
          <t>X</t>
        </is>
      </c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inlineStr">
        <is>
          <t>X</t>
        </is>
      </c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inlineStr">
        <is>
          <t>X</t>
        </is>
      </c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inlineStr">
        <is>
          <t>X</t>
        </is>
      </c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inlineStr">
        <is>
          <t>X</t>
        </is>
      </c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inlineStr">
        <is>
          <t>X</t>
        </is>
      </c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inlineStr">
        <is>
          <t>X</t>
        </is>
      </c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inlineStr">
        <is>
          <t>X</t>
        </is>
      </c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n"/>
      <c r="X54" s="14" t="n"/>
      <c r="Y54" s="13" t="inlineStr">
        <is>
          <t>X</t>
        </is>
      </c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inlineStr">
        <is>
          <t>X</t>
        </is>
      </c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inlineStr">
        <is>
          <t>X</t>
        </is>
      </c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inlineStr">
        <is>
          <t>X</t>
        </is>
      </c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inlineStr">
        <is>
          <t>X</t>
        </is>
      </c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inlineStr">
        <is>
          <t>X</t>
        </is>
      </c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inlineStr">
        <is>
          <t>X</t>
        </is>
      </c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inlineStr">
        <is>
          <t>X</t>
        </is>
      </c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inlineStr">
        <is>
          <t>X</t>
        </is>
      </c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n"/>
      <c r="J90" s="39" t="n"/>
      <c r="K90" s="38" t="inlineStr">
        <is>
          <t>X</t>
        </is>
      </c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inlineStr">
        <is>
          <t>X</t>
        </is>
      </c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inlineStr">
        <is>
          <t>X</t>
        </is>
      </c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1"/>
  <sheetViews>
    <sheetView topLeftCell="A16" zoomScale="130" zoomScaleNormal="130" workbookViewId="0">
      <selection activeCell="C45" sqref="C45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5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inlineStr">
        <is>
          <t>X</t>
        </is>
      </c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inlineStr">
        <is>
          <t>X</t>
        </is>
      </c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inlineStr">
        <is>
          <t>X</t>
        </is>
      </c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inlineStr">
        <is>
          <t>X</t>
        </is>
      </c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inlineStr">
        <is>
          <t>X</t>
        </is>
      </c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inlineStr">
        <is>
          <t>X</t>
        </is>
      </c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inlineStr">
        <is>
          <t>X</t>
        </is>
      </c>
      <c r="P54" s="48" t="n"/>
      <c r="Q54" s="48">
        <f>IF(ISBLANK(O54),IF(ISBLANK(M54),IF(ISBLANK(K54),IF(ISBLANK(I54),IF(ISBLANK(G54),IF(ISBLANK(E54),0,1),2),3),4),5),6)</f>
        <v/>
      </c>
      <c r="R54" s="48" t="n"/>
      <c r="S54" s="13" t="inlineStr">
        <is>
          <t>X</t>
        </is>
      </c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inlineStr">
        <is>
          <t>X</t>
        </is>
      </c>
      <c r="L58" s="14" t="n"/>
      <c r="M58" s="13" t="n"/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inlineStr">
        <is>
          <t>X</t>
        </is>
      </c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inlineStr">
        <is>
          <t>X</t>
        </is>
      </c>
      <c r="T68" s="14" t="n"/>
      <c r="U68" s="13" t="n"/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inlineStr">
        <is>
          <t>X</t>
        </is>
      </c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inlineStr">
        <is>
          <t>X</t>
        </is>
      </c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inlineStr">
        <is>
          <t>X</t>
        </is>
      </c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inlineStr">
        <is>
          <t>X</t>
        </is>
      </c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6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inlineStr">
        <is>
          <t>X</t>
        </is>
      </c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n"/>
      <c r="X7" s="14" t="n"/>
      <c r="Y7" s="13" t="n"/>
      <c r="Z7" s="14" t="n"/>
      <c r="AA7" s="15" t="inlineStr">
        <is>
          <t>X</t>
        </is>
      </c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inlineStr">
        <is>
          <t>X</t>
        </is>
      </c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inlineStr">
        <is>
          <t>X</t>
        </is>
      </c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inlineStr">
        <is>
          <t>X</t>
        </is>
      </c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inlineStr">
        <is>
          <t>X</t>
        </is>
      </c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inlineStr">
        <is>
          <t>X</t>
        </is>
      </c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inlineStr">
        <is>
          <t>X</t>
        </is>
      </c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inlineStr">
        <is>
          <t>X</t>
        </is>
      </c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inlineStr">
        <is>
          <t>X</t>
        </is>
      </c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inlineStr">
        <is>
          <t>X</t>
        </is>
      </c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inlineStr">
        <is>
          <t>X</t>
        </is>
      </c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n"/>
      <c r="L76" s="14" t="n"/>
      <c r="M76" s="13" t="inlineStr">
        <is>
          <t>X</t>
        </is>
      </c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n"/>
      <c r="X76" s="14" t="n"/>
      <c r="Y76" s="13" t="inlineStr">
        <is>
          <t>X</t>
        </is>
      </c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inlineStr">
        <is>
          <t>X</t>
        </is>
      </c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inlineStr">
        <is>
          <t>X</t>
        </is>
      </c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n"/>
      <c r="X90" s="39" t="n"/>
      <c r="Y90" s="38" t="inlineStr">
        <is>
          <t>X</t>
        </is>
      </c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inlineStr">
        <is>
          <t>X</t>
        </is>
      </c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7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inlineStr">
        <is>
          <t>X</t>
        </is>
      </c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inlineStr">
        <is>
          <t>X</t>
        </is>
      </c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inlineStr">
        <is>
          <t>X</t>
        </is>
      </c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inlineStr">
        <is>
          <t>X</t>
        </is>
      </c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inlineStr">
        <is>
          <t>X</t>
        </is>
      </c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inlineStr">
        <is>
          <t>X</t>
        </is>
      </c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inlineStr">
        <is>
          <t>X</t>
        </is>
      </c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inlineStr">
        <is>
          <t>X</t>
        </is>
      </c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inlineStr">
        <is>
          <t>X</t>
        </is>
      </c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inlineStr">
        <is>
          <t>X</t>
        </is>
      </c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n"/>
      <c r="T58" s="14" t="n"/>
      <c r="U58" s="13" t="inlineStr">
        <is>
          <t>X</t>
        </is>
      </c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inlineStr">
        <is>
          <t>X</t>
        </is>
      </c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inlineStr">
        <is>
          <t>X</t>
        </is>
      </c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inlineStr">
        <is>
          <t>X</t>
        </is>
      </c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inlineStr">
        <is>
          <t>X</t>
        </is>
      </c>
      <c r="P82" s="40" t="n"/>
      <c r="Q82" s="48">
        <f>IF(ISBLANK(O82),IF(ISBLANK(M82),IF(ISBLANK(K82),IF(ISBLANK(I82),IF(ISBLANK(G82),IF(ISBLANK(E82),0,1),2),3),4),5),6)</f>
        <v/>
      </c>
      <c r="R82" s="37" t="n"/>
      <c r="S82" s="38" t="n"/>
      <c r="T82" s="39" t="n"/>
      <c r="U82" s="38" t="inlineStr">
        <is>
          <t>X</t>
        </is>
      </c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inlineStr">
        <is>
          <t>X</t>
        </is>
      </c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inlineStr">
        <is>
          <t>X</t>
        </is>
      </c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inlineStr">
        <is>
          <t>X</t>
        </is>
      </c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inlineStr">
        <is>
          <t>X</t>
        </is>
      </c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8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n"/>
      <c r="X7" s="14" t="n"/>
      <c r="Y7" s="13" t="inlineStr">
        <is>
          <t>X</t>
        </is>
      </c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inlineStr">
        <is>
          <t>X</t>
        </is>
      </c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inlineStr">
        <is>
          <t>X</t>
        </is>
      </c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inlineStr">
        <is>
          <t>X</t>
        </is>
      </c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inlineStr">
        <is>
          <t>X</t>
        </is>
      </c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inlineStr">
        <is>
          <t>X</t>
        </is>
      </c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n"/>
      <c r="AB33" s="14" t="n"/>
      <c r="AC33" s="13" t="inlineStr">
        <is>
          <t>X</t>
        </is>
      </c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inlineStr">
        <is>
          <t>X</t>
        </is>
      </c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inlineStr">
        <is>
          <t>X</t>
        </is>
      </c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inlineStr">
        <is>
          <t>X</t>
        </is>
      </c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inlineStr">
        <is>
          <t>X</t>
        </is>
      </c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inlineStr">
        <is>
          <t>X</t>
        </is>
      </c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inlineStr">
        <is>
          <t>X</t>
        </is>
      </c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inlineStr">
        <is>
          <t>X</t>
        </is>
      </c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n"/>
      <c r="J68" s="14" t="n"/>
      <c r="K68" s="13" t="inlineStr">
        <is>
          <t>X</t>
        </is>
      </c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n"/>
      <c r="L72" s="14" t="n"/>
      <c r="M72" s="13" t="inlineStr">
        <is>
          <t>X</t>
        </is>
      </c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inlineStr">
        <is>
          <t>X</t>
        </is>
      </c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inlineStr">
        <is>
          <t>X</t>
        </is>
      </c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inlineStr">
        <is>
          <t>X</t>
        </is>
      </c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inlineStr">
        <is>
          <t>X</t>
        </is>
      </c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9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inlineStr">
        <is>
          <t>X</t>
        </is>
      </c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inlineStr">
        <is>
          <t>X</t>
        </is>
      </c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inlineStr">
        <is>
          <t>X</t>
        </is>
      </c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inlineStr">
        <is>
          <t>X</t>
        </is>
      </c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inlineStr">
        <is>
          <t>X</t>
        </is>
      </c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inlineStr">
        <is>
          <t>X</t>
        </is>
      </c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inlineStr">
        <is>
          <t>X</t>
        </is>
      </c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inlineStr">
        <is>
          <t>X</t>
        </is>
      </c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inlineStr">
        <is>
          <t>X</t>
        </is>
      </c>
      <c r="J33" s="14" t="n"/>
      <c r="K33" s="15" t="n"/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inlineStr">
        <is>
          <t>X</t>
        </is>
      </c>
      <c r="Z33" s="14" t="n"/>
      <c r="AA33" s="15" t="n"/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inlineStr">
        <is>
          <t>X</t>
        </is>
      </c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inlineStr">
        <is>
          <t>X</t>
        </is>
      </c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inlineStr">
        <is>
          <t>X</t>
        </is>
      </c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inlineStr">
        <is>
          <t>X</t>
        </is>
      </c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inlineStr">
        <is>
          <t>X</t>
        </is>
      </c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inlineStr">
        <is>
          <t>X</t>
        </is>
      </c>
      <c r="V68" s="14" t="n"/>
      <c r="W68" s="13" t="n"/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inlineStr">
        <is>
          <t>X</t>
        </is>
      </c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inlineStr">
        <is>
          <t>X</t>
        </is>
      </c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n"/>
      <c r="X76" s="14" t="n"/>
      <c r="Y76" s="13" t="n"/>
      <c r="Z76" s="14" t="n"/>
      <c r="AA76" s="13" t="inlineStr">
        <is>
          <t>X</t>
        </is>
      </c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inlineStr">
        <is>
          <t>X</t>
        </is>
      </c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inlineStr">
        <is>
          <t>X</t>
        </is>
      </c>
      <c r="D90" s="39" t="n"/>
      <c r="E90" s="38" t="n"/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n"/>
      <c r="X90" s="39" t="n"/>
      <c r="Y90" s="38" t="n"/>
      <c r="Z90" s="39" t="n"/>
      <c r="AA90" s="38" t="inlineStr">
        <is>
          <t>X</t>
        </is>
      </c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inlineStr">
        <is>
          <t>X</t>
        </is>
      </c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10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inlineStr">
        <is>
          <t>X</t>
        </is>
      </c>
      <c r="F7" s="14" t="n"/>
      <c r="G7" s="13" t="n"/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inlineStr">
        <is>
          <t>X</t>
        </is>
      </c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inlineStr">
        <is>
          <t>X</t>
        </is>
      </c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inlineStr">
        <is>
          <t>X</t>
        </is>
      </c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inlineStr">
        <is>
          <t>X</t>
        </is>
      </c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inlineStr">
        <is>
          <t>X</t>
        </is>
      </c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inlineStr">
        <is>
          <t>X</t>
        </is>
      </c>
      <c r="V33" s="14" t="n"/>
      <c r="W33" s="13" t="n"/>
      <c r="X33" s="14" t="n"/>
      <c r="Y33" s="13" t="n"/>
      <c r="Z33" s="14" t="n"/>
      <c r="AA33" s="15" t="n"/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n"/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n"/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n"/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n"/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inlineStr">
        <is>
          <t>X</t>
        </is>
      </c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inlineStr">
        <is>
          <t>X</t>
        </is>
      </c>
      <c r="D50" s="14" t="n"/>
      <c r="E50" s="13" t="n"/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inlineStr">
        <is>
          <t>X</t>
        </is>
      </c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inlineStr">
        <is>
          <t>X</t>
        </is>
      </c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inlineStr">
        <is>
          <t>X</t>
        </is>
      </c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inlineStr">
        <is>
          <t>X</t>
        </is>
      </c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inlineStr">
        <is>
          <t>X</t>
        </is>
      </c>
      <c r="D62" s="14" t="n"/>
      <c r="E62" s="13" t="n"/>
      <c r="F62" s="14" t="n"/>
      <c r="G62" s="13" t="n"/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inlineStr">
        <is>
          <t>X</t>
        </is>
      </c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n"/>
      <c r="X68" s="14" t="n"/>
      <c r="Y68" s="13" t="inlineStr">
        <is>
          <t>X</t>
        </is>
      </c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inlineStr">
        <is>
          <t>X</t>
        </is>
      </c>
      <c r="F72" s="14" t="n"/>
      <c r="G72" s="13" t="n"/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inlineStr">
        <is>
          <t>X</t>
        </is>
      </c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inlineStr">
        <is>
          <t>X</t>
        </is>
      </c>
      <c r="T76" s="14" t="n"/>
      <c r="U76" s="13" t="n"/>
      <c r="V76" s="14" t="n"/>
      <c r="W76" s="13" t="n"/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inlineStr">
        <is>
          <t>X</t>
        </is>
      </c>
      <c r="P82" s="40" t="n"/>
      <c r="Q82" s="48">
        <f>IF(ISBLANK(O82),IF(ISBLANK(M82),IF(ISBLANK(K82),IF(ISBLANK(I82),IF(ISBLANK(G82),IF(ISBLANK(E82),0,1),2),3),4),5),6)</f>
        <v/>
      </c>
      <c r="R82" s="37" t="n"/>
      <c r="S82" s="38" t="n"/>
      <c r="T82" s="39" t="n"/>
      <c r="U82" s="38" t="inlineStr">
        <is>
          <t>X</t>
        </is>
      </c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inlineStr">
        <is>
          <t>X</t>
        </is>
      </c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n"/>
      <c r="H90" s="39" t="n"/>
      <c r="I90" s="38" t="inlineStr">
        <is>
          <t>X</t>
        </is>
      </c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inlineStr">
        <is>
          <t>X</t>
        </is>
      </c>
      <c r="T90" s="39" t="n"/>
      <c r="U90" s="38" t="n"/>
      <c r="V90" s="39" t="n"/>
      <c r="W90" s="38" t="n"/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inlineStr">
        <is>
          <t>X</t>
        </is>
      </c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1"/>
  <sheetViews>
    <sheetView zoomScale="130" zoomScaleNormal="130" workbookViewId="0">
      <selection activeCell="S4" sqref="S4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11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n"/>
      <c r="H7" s="14" t="n"/>
      <c r="I7" s="13" t="inlineStr">
        <is>
          <t>X</t>
        </is>
      </c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n"/>
      <c r="V7" s="14" t="n"/>
      <c r="W7" s="13" t="n"/>
      <c r="X7" s="14" t="n"/>
      <c r="Y7" s="13" t="inlineStr">
        <is>
          <t>X</t>
        </is>
      </c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inlineStr">
        <is>
          <t>X</t>
        </is>
      </c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inlineStr">
        <is>
          <t>X</t>
        </is>
      </c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inlineStr">
        <is>
          <t>X</t>
        </is>
      </c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inlineStr">
        <is>
          <t>X</t>
        </is>
      </c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inlineStr">
        <is>
          <t>X</t>
        </is>
      </c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n"/>
      <c r="D20" s="14" t="n"/>
      <c r="E20" s="13" t="n"/>
      <c r="F20" s="14" t="n"/>
      <c r="G20" s="13" t="n"/>
      <c r="H20" s="14" t="n"/>
      <c r="I20" s="13" t="inlineStr">
        <is>
          <t>X</t>
        </is>
      </c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n"/>
      <c r="T20" s="14" t="n"/>
      <c r="U20" s="13" t="n"/>
      <c r="V20" s="14" t="n"/>
      <c r="W20" s="13" t="n"/>
      <c r="X20" s="14" t="n"/>
      <c r="Y20" s="13" t="inlineStr">
        <is>
          <t>X</t>
        </is>
      </c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inlineStr">
        <is>
          <t>X</t>
        </is>
      </c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inlineStr">
        <is>
          <t>X</t>
        </is>
      </c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inlineStr">
        <is>
          <t>X</t>
        </is>
      </c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inlineStr">
        <is>
          <t>X</t>
        </is>
      </c>
      <c r="L33" s="14" t="n"/>
      <c r="M33" s="13" t="n"/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inlineStr">
        <is>
          <t>X</t>
        </is>
      </c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inlineStr">
        <is>
          <t>X</t>
        </is>
      </c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inlineStr">
        <is>
          <t>X</t>
        </is>
      </c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inlineStr">
        <is>
          <t>X</t>
        </is>
      </c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n"/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n"/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n"/>
      <c r="F50" s="14" t="n"/>
      <c r="G50" s="13" t="n"/>
      <c r="H50" s="14" t="n"/>
      <c r="I50" s="13" t="n"/>
      <c r="J50" s="14" t="n"/>
      <c r="K50" s="15" t="inlineStr">
        <is>
          <t>X</t>
        </is>
      </c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n"/>
      <c r="V50" s="14" t="n"/>
      <c r="W50" s="13" t="n"/>
      <c r="X50" s="14" t="n"/>
      <c r="Y50" s="13" t="n"/>
      <c r="Z50" s="14" t="n"/>
      <c r="AA50" s="15" t="n"/>
      <c r="AB50" s="14" t="n"/>
      <c r="AC50" s="13" t="inlineStr">
        <is>
          <t>X</t>
        </is>
      </c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n"/>
      <c r="D54" s="14" t="n"/>
      <c r="E54" s="13" t="n"/>
      <c r="F54" s="14" t="n"/>
      <c r="G54" s="13" t="n"/>
      <c r="H54" s="14" t="n"/>
      <c r="I54" s="13" t="n"/>
      <c r="J54" s="14" t="n"/>
      <c r="K54" s="15" t="inlineStr">
        <is>
          <t>X</t>
        </is>
      </c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inlineStr">
        <is>
          <t>X</t>
        </is>
      </c>
      <c r="X54" s="14" t="n"/>
      <c r="Y54" s="13" t="n"/>
      <c r="Z54" s="14" t="n"/>
      <c r="AA54" s="15" t="n"/>
      <c r="AB54" s="14" t="n"/>
      <c r="AC54" s="13" t="n"/>
      <c r="AD54" s="14" t="n"/>
      <c r="AE54" s="13" t="n"/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n"/>
      <c r="F58" s="14" t="n"/>
      <c r="G58" s="13" t="n"/>
      <c r="H58" s="14" t="n"/>
      <c r="I58" s="13" t="n"/>
      <c r="J58" s="14" t="n"/>
      <c r="K58" s="15" t="n"/>
      <c r="L58" s="14" t="n"/>
      <c r="M58" s="13" t="inlineStr">
        <is>
          <t>X</t>
        </is>
      </c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inlineStr">
        <is>
          <t>X</t>
        </is>
      </c>
      <c r="T58" s="14" t="n"/>
      <c r="U58" s="13" t="n"/>
      <c r="V58" s="14" t="n"/>
      <c r="W58" s="13" t="n"/>
      <c r="X58" s="14" t="n"/>
      <c r="Y58" s="13" t="n"/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n"/>
      <c r="H62" s="14" t="n"/>
      <c r="I62" s="13" t="n"/>
      <c r="J62" s="14" t="n"/>
      <c r="K62" s="15" t="inlineStr">
        <is>
          <t>X</t>
        </is>
      </c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n"/>
      <c r="D68" s="14" t="n"/>
      <c r="E68" s="13" t="n"/>
      <c r="F68" s="14" t="n"/>
      <c r="G68" s="13" t="n"/>
      <c r="H68" s="14" t="n"/>
      <c r="I68" s="13" t="inlineStr">
        <is>
          <t>X</t>
        </is>
      </c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inlineStr">
        <is>
          <t>X</t>
        </is>
      </c>
      <c r="X68" s="14" t="n"/>
      <c r="Y68" s="13" t="n"/>
      <c r="Z68" s="14" t="n"/>
      <c r="AA68" s="13" t="n"/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n"/>
      <c r="H72" s="14" t="n"/>
      <c r="I72" s="13" t="n"/>
      <c r="J72" s="14" t="n"/>
      <c r="K72" s="13" t="inlineStr">
        <is>
          <t>X</t>
        </is>
      </c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inlineStr">
        <is>
          <t>X</t>
        </is>
      </c>
      <c r="Z72" s="14" t="n"/>
      <c r="AA72" s="13" t="n"/>
      <c r="AB72" s="14" t="n"/>
      <c r="AC72" s="13" t="n"/>
      <c r="AD72" s="14" t="n"/>
      <c r="AE72" s="13" t="n"/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n"/>
      <c r="F76" s="14" t="n"/>
      <c r="G76" s="13" t="n"/>
      <c r="H76" s="14" t="n"/>
      <c r="I76" s="13" t="n"/>
      <c r="J76" s="14" t="n"/>
      <c r="K76" s="13" t="inlineStr">
        <is>
          <t>X</t>
        </is>
      </c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inlineStr">
        <is>
          <t>X</t>
        </is>
      </c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inlineStr">
        <is>
          <t>X</t>
        </is>
      </c>
      <c r="D82" s="39" t="n"/>
      <c r="E82" s="38" t="n"/>
      <c r="F82" s="39" t="n"/>
      <c r="G82" s="38" t="n"/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inlineStr">
        <is>
          <t>X</t>
        </is>
      </c>
      <c r="T82" s="39" t="n"/>
      <c r="U82" s="38" t="n"/>
      <c r="V82" s="39" t="n"/>
      <c r="W82" s="38" t="n"/>
      <c r="X82" s="39" t="n"/>
      <c r="Y82" s="38" t="n"/>
      <c r="Z82" s="39" t="n"/>
      <c r="AA82" s="38" t="n"/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n"/>
      <c r="D86" s="39" t="n"/>
      <c r="E86" s="38" t="inlineStr">
        <is>
          <t>X</t>
        </is>
      </c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inlineStr">
        <is>
          <t>X</t>
        </is>
      </c>
      <c r="T86" s="39" t="n"/>
      <c r="U86" s="38" t="n"/>
      <c r="V86" s="39" t="n"/>
      <c r="W86" s="38" t="n"/>
      <c r="X86" s="39" t="n"/>
      <c r="Y86" s="38" t="n"/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n"/>
      <c r="F90" s="39" t="n"/>
      <c r="G90" s="38" t="inlineStr">
        <is>
          <t>X</t>
        </is>
      </c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inlineStr">
        <is>
          <t>X</t>
        </is>
      </c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n"/>
      <c r="H94" s="14" t="n"/>
      <c r="I94" s="13" t="n"/>
      <c r="J94" s="14" t="n"/>
      <c r="K94" s="13" t="n"/>
      <c r="L94" s="14" t="n"/>
      <c r="M94" s="13" t="inlineStr">
        <is>
          <t>X</t>
        </is>
      </c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1"/>
  <sheetViews>
    <sheetView tabSelected="1" zoomScale="130" zoomScaleNormal="130" workbookViewId="0">
      <selection activeCell="AG8" sqref="AG8"/>
    </sheetView>
  </sheetViews>
  <sheetFormatPr baseColWidth="8" defaultRowHeight="12.75"/>
  <cols>
    <col width="11.28515625" customWidth="1" min="1" max="2"/>
    <col width="3" customWidth="1" min="3" max="15"/>
    <col width="8.7109375" customWidth="1" min="16" max="16"/>
    <col width="7.42578125" customWidth="1" min="17" max="17"/>
    <col width="16.42578125" customWidth="1" min="18" max="18"/>
    <col width="3.140625" customWidth="1" min="19" max="31"/>
    <col width="7.85546875" customWidth="1" min="32" max="32"/>
    <col width="17.28515625" customWidth="1" min="33" max="1025"/>
  </cols>
  <sheetData>
    <row r="1" ht="17.25" customHeight="1">
      <c r="A1" s="48" t="n"/>
      <c r="B1" s="4" t="inlineStr">
        <is>
          <t>Date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</row>
    <row r="2" ht="7.5" customHeight="1">
      <c r="A2" s="48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</row>
    <row r="3" ht="19.5" customHeight="1">
      <c r="A3" s="48" t="n"/>
      <c r="B3" s="7" t="inlineStr">
        <is>
          <t>Name: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inlineStr">
        <is>
          <t>Beer#:</t>
        </is>
      </c>
      <c r="S3" s="48" t="n">
        <v>12</v>
      </c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</row>
    <row r="4" ht="12.7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9.5" customHeight="1">
      <c r="A5" s="48" t="n"/>
      <c r="B5" s="2" t="inlineStr">
        <is>
          <t>Aroma</t>
        </is>
      </c>
      <c r="Q5" s="48" t="n"/>
      <c r="R5" s="2" t="inlineStr">
        <is>
          <t>Flavour</t>
        </is>
      </c>
    </row>
    <row r="6" ht="17.25" customHeight="1">
      <c r="A6" s="48" t="n"/>
      <c r="B6" s="9" t="inlineStr">
        <is>
          <t>Malt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  <c r="Q6" s="48" t="n"/>
      <c r="R6" s="9" t="inlineStr">
        <is>
          <t>Malt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1" t="n"/>
    </row>
    <row r="7" ht="12.75" customHeight="1">
      <c r="A7" s="48" t="n"/>
      <c r="B7" s="12" t="n"/>
      <c r="C7" s="13" t="n"/>
      <c r="D7" s="14" t="n"/>
      <c r="E7" s="13" t="n"/>
      <c r="F7" s="14" t="n"/>
      <c r="G7" s="13" t="inlineStr">
        <is>
          <t>X</t>
        </is>
      </c>
      <c r="H7" s="14" t="n"/>
      <c r="I7" s="13" t="n"/>
      <c r="J7" s="14" t="n"/>
      <c r="K7" s="15" t="n"/>
      <c r="L7" s="14" t="n"/>
      <c r="M7" s="13" t="n"/>
      <c r="N7" s="14" t="n"/>
      <c r="O7" s="13" t="n"/>
      <c r="P7" s="16" t="n"/>
      <c r="Q7" s="48">
        <f>IF(ISBLANK(O7),IF(ISBLANK(M7),IF(ISBLANK(K7),IF(ISBLANK(I7),IF(ISBLANK(G7),IF(ISBLANK(E7),0,1),2),3),4),5),6)</f>
        <v/>
      </c>
      <c r="R7" s="12" t="n"/>
      <c r="S7" s="13" t="n"/>
      <c r="T7" s="14" t="n"/>
      <c r="U7" s="13" t="inlineStr">
        <is>
          <t>X</t>
        </is>
      </c>
      <c r="V7" s="14" t="n"/>
      <c r="W7" s="13" t="n"/>
      <c r="X7" s="14" t="n"/>
      <c r="Y7" s="13" t="n"/>
      <c r="Z7" s="14" t="n"/>
      <c r="AA7" s="15" t="n"/>
      <c r="AB7" s="14" t="n"/>
      <c r="AC7" s="13" t="n"/>
      <c r="AD7" s="14" t="n"/>
      <c r="AE7" s="13" t="n"/>
      <c r="AF7" s="16" t="n"/>
      <c r="AG7" s="48">
        <f>IF(ISBLANK(AE7),IF(ISBLANK(AC7),IF(ISBLANK(AA7),IF(ISBLANK(Y7),IF(ISBLANK(W7),IF(ISBLANK(U7),0,1),2),3),4),5),6)</f>
        <v/>
      </c>
    </row>
    <row r="8" ht="12.75" customHeight="1">
      <c r="A8" s="48" t="n"/>
      <c r="B8" s="12" t="n"/>
      <c r="C8" s="17" t="n">
        <v>0</v>
      </c>
      <c r="D8" s="17" t="n"/>
      <c r="E8" s="17" t="n">
        <v>1</v>
      </c>
      <c r="F8" s="17" t="n"/>
      <c r="G8" s="17" t="n">
        <v>2</v>
      </c>
      <c r="H8" s="17" t="n"/>
      <c r="I8" s="17" t="n">
        <v>3</v>
      </c>
      <c r="J8" s="17" t="n"/>
      <c r="K8" s="17" t="n">
        <v>4</v>
      </c>
      <c r="L8" s="17" t="n"/>
      <c r="M8" s="17" t="n">
        <v>5</v>
      </c>
      <c r="N8" s="17" t="n"/>
      <c r="O8" s="17" t="n">
        <v>6</v>
      </c>
      <c r="P8" s="16" t="n"/>
      <c r="Q8" s="48" t="n"/>
      <c r="R8" s="12" t="n"/>
      <c r="S8" s="17" t="n">
        <v>0</v>
      </c>
      <c r="T8" s="17" t="n"/>
      <c r="U8" s="17" t="n">
        <v>1</v>
      </c>
      <c r="V8" s="17" t="n"/>
      <c r="W8" s="17" t="n">
        <v>2</v>
      </c>
      <c r="X8" s="17" t="n"/>
      <c r="Y8" s="17" t="n">
        <v>3</v>
      </c>
      <c r="Z8" s="17" t="n"/>
      <c r="AA8" s="17" t="n">
        <v>4</v>
      </c>
      <c r="AB8" s="17" t="n"/>
      <c r="AC8" s="17" t="n">
        <v>5</v>
      </c>
      <c r="AD8" s="17" t="n"/>
      <c r="AE8" s="17" t="n">
        <v>6</v>
      </c>
      <c r="AF8" s="16" t="n"/>
      <c r="AG8" s="48" t="n"/>
    </row>
    <row r="9" ht="7.5" customHeight="1">
      <c r="A9" s="48" t="n"/>
      <c r="B9" s="12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/>
      <c r="Q9" s="48" t="n"/>
      <c r="R9" s="12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6" t="n"/>
      <c r="AG9" s="48" t="n"/>
    </row>
    <row r="10" ht="12.75" customHeight="1">
      <c r="A10" s="48" t="n"/>
      <c r="B10" s="12" t="n"/>
      <c r="C10" s="13" t="n"/>
      <c r="D10" s="14" t="n"/>
      <c r="E10" s="14" t="inlineStr">
        <is>
          <t>Cereals, flour, grains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/>
      <c r="Q10" s="48">
        <f>IF(ISBLANK(C10),0,Q7)</f>
        <v/>
      </c>
      <c r="R10" s="12" t="n"/>
      <c r="S10" s="13" t="n"/>
      <c r="T10" s="14" t="n"/>
      <c r="U10" s="14" t="inlineStr">
        <is>
          <t>Cereals, flour, grains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6" t="n"/>
      <c r="AG10" s="48">
        <f>IF(ISBLANK(S10),0,AG7)</f>
        <v/>
      </c>
    </row>
    <row r="11" ht="7.5" customHeight="1">
      <c r="A11" s="48" t="n"/>
      <c r="B11" s="1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6" t="n"/>
      <c r="Q11" s="48" t="n"/>
      <c r="R11" s="12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6" t="n"/>
      <c r="AG11" s="48" t="n"/>
    </row>
    <row r="12" ht="12.75" customHeight="1">
      <c r="A12" s="48" t="n"/>
      <c r="B12" s="12" t="n"/>
      <c r="C12" s="13" t="n"/>
      <c r="D12" s="14" t="n"/>
      <c r="E12" s="14" t="inlineStr">
        <is>
          <t>Bread crust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6" t="n"/>
      <c r="Q12" s="48">
        <f>IF(ISBLANK(C12),0,Q7)</f>
        <v/>
      </c>
      <c r="R12" s="12" t="n"/>
      <c r="S12" s="13" t="n"/>
      <c r="T12" s="14" t="n"/>
      <c r="U12" s="14" t="inlineStr">
        <is>
          <t>Bread crust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6" t="n"/>
      <c r="AG12" s="48">
        <f>IF(ISBLANK(S12),0,AG7)</f>
        <v/>
      </c>
    </row>
    <row r="13" ht="7.5" customHeight="1">
      <c r="A13" s="48" t="n"/>
      <c r="B13" s="1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48" t="n"/>
      <c r="R13" s="12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6" t="n"/>
      <c r="AG13" s="48" t="n"/>
    </row>
    <row r="14" ht="12.75" customHeight="1">
      <c r="A14" s="48" t="n"/>
      <c r="B14" s="12" t="n"/>
      <c r="C14" s="13" t="n"/>
      <c r="D14" s="14" t="n"/>
      <c r="E14" s="14" t="inlineStr">
        <is>
          <t>Caramel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6" t="n"/>
      <c r="Q14" s="48">
        <f>IF(ISBLANK(C14),0,Q7)</f>
        <v/>
      </c>
      <c r="R14" s="12" t="n"/>
      <c r="S14" s="13" t="n"/>
      <c r="T14" s="14" t="n"/>
      <c r="U14" s="14" t="inlineStr">
        <is>
          <t>Caramel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6" t="n"/>
      <c r="AG14" s="48">
        <f>IF(ISBLANK(S14),0,AG7)</f>
        <v/>
      </c>
    </row>
    <row r="15" ht="7.5" customHeight="1">
      <c r="A15" s="48" t="n"/>
      <c r="B15" s="12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/>
      <c r="Q15" s="48" t="n"/>
      <c r="R15" s="12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6" t="n"/>
      <c r="AG15" s="48" t="n"/>
    </row>
    <row r="16" ht="12.75" customHeight="1">
      <c r="A16" s="48" t="n"/>
      <c r="B16" s="12" t="n"/>
      <c r="C16" s="13" t="n"/>
      <c r="D16" s="14" t="n"/>
      <c r="E16" s="14" t="inlineStr">
        <is>
          <t>Smoked, burnt toast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/>
      <c r="Q16" s="48">
        <f>IF(ISBLANK(C16),0,Q7)</f>
        <v/>
      </c>
      <c r="R16" s="12" t="n"/>
      <c r="S16" s="13" t="n"/>
      <c r="T16" s="14" t="n"/>
      <c r="U16" s="14" t="inlineStr">
        <is>
          <t>Smoked, burnt toast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6" t="n"/>
      <c r="AG16" s="48">
        <f>IF(ISBLANK(S16),0,AG7)</f>
        <v/>
      </c>
    </row>
    <row r="17" ht="7.5" customHeight="1">
      <c r="A17" s="48" t="n"/>
      <c r="B17" s="12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16" t="n"/>
      <c r="Q17" s="48" t="n"/>
      <c r="R17" s="12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16" t="n"/>
      <c r="AG17" s="48" t="n"/>
    </row>
    <row r="18" ht="12.75" customHeight="1">
      <c r="A18" s="48" t="n"/>
      <c r="B18" s="12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16" t="n"/>
      <c r="Q18" s="48" t="n"/>
      <c r="R18" s="12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16" t="n"/>
      <c r="AG18" s="48" t="n"/>
    </row>
    <row r="19" ht="17.25" customHeight="1">
      <c r="A19" s="48" t="n"/>
      <c r="B19" s="18" t="inlineStr">
        <is>
          <t>Hops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16" t="n"/>
      <c r="Q19" s="48" t="n"/>
      <c r="R19" s="18" t="inlineStr">
        <is>
          <t>Hops</t>
        </is>
      </c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16" t="n"/>
      <c r="AG19" s="48" t="n"/>
    </row>
    <row r="20" ht="12.75" customHeight="1">
      <c r="A20" s="48" t="n"/>
      <c r="B20" s="12" t="n"/>
      <c r="C20" s="13" t="inlineStr">
        <is>
          <t>X</t>
        </is>
      </c>
      <c r="D20" s="14" t="n"/>
      <c r="E20" s="13" t="n"/>
      <c r="F20" s="14" t="n"/>
      <c r="G20" s="13" t="n"/>
      <c r="H20" s="14" t="n"/>
      <c r="I20" s="13" t="n"/>
      <c r="J20" s="14" t="n"/>
      <c r="K20" s="15" t="n"/>
      <c r="L20" s="14" t="n"/>
      <c r="M20" s="13" t="n"/>
      <c r="N20" s="14" t="n"/>
      <c r="O20" s="13" t="n"/>
      <c r="P20" s="16" t="n"/>
      <c r="Q20" s="48">
        <f>IF(ISBLANK(O20),IF(ISBLANK(M20),IF(ISBLANK(K20),IF(ISBLANK(I20),IF(ISBLANK(G20),IF(ISBLANK(E20),0,1),2),3),4),5),6)</f>
        <v/>
      </c>
      <c r="R20" s="12" t="n"/>
      <c r="S20" s="13" t="inlineStr">
        <is>
          <t>X</t>
        </is>
      </c>
      <c r="T20" s="14" t="n"/>
      <c r="U20" s="13" t="n"/>
      <c r="V20" s="14" t="n"/>
      <c r="W20" s="13" t="n"/>
      <c r="X20" s="14" t="n"/>
      <c r="Y20" s="13" t="n"/>
      <c r="Z20" s="14" t="n"/>
      <c r="AA20" s="15" t="n"/>
      <c r="AB20" s="14" t="n"/>
      <c r="AC20" s="13" t="n"/>
      <c r="AD20" s="14" t="n"/>
      <c r="AE20" s="13" t="n"/>
      <c r="AF20" s="16" t="n"/>
      <c r="AG20" s="48">
        <f>IF(ISBLANK(AE20),IF(ISBLANK(AC20),IF(ISBLANK(AA20),IF(ISBLANK(Y20),IF(ISBLANK(W20),IF(ISBLANK(U20),0,1),2),3),4),5),6)</f>
        <v/>
      </c>
    </row>
    <row r="21" ht="12.75" customHeight="1">
      <c r="A21" s="48" t="n"/>
      <c r="B21" s="12" t="n"/>
      <c r="C21" s="17" t="n">
        <v>0</v>
      </c>
      <c r="D21" s="17" t="n"/>
      <c r="E21" s="17" t="n">
        <v>1</v>
      </c>
      <c r="F21" s="17" t="n"/>
      <c r="G21" s="17" t="n">
        <v>2</v>
      </c>
      <c r="H21" s="17" t="n"/>
      <c r="I21" s="17" t="n">
        <v>3</v>
      </c>
      <c r="J21" s="17" t="n"/>
      <c r="K21" s="17" t="n">
        <v>4</v>
      </c>
      <c r="L21" s="17" t="n"/>
      <c r="M21" s="17" t="n">
        <v>5</v>
      </c>
      <c r="N21" s="17" t="n"/>
      <c r="O21" s="17" t="n">
        <v>6</v>
      </c>
      <c r="P21" s="16" t="n"/>
      <c r="Q21" s="48" t="n"/>
      <c r="R21" s="12" t="n"/>
      <c r="S21" s="17" t="n">
        <v>0</v>
      </c>
      <c r="T21" s="17" t="n"/>
      <c r="U21" s="17" t="n">
        <v>1</v>
      </c>
      <c r="V21" s="17" t="n"/>
      <c r="W21" s="17" t="n">
        <v>2</v>
      </c>
      <c r="X21" s="17" t="n"/>
      <c r="Y21" s="17" t="n">
        <v>3</v>
      </c>
      <c r="Z21" s="17" t="n"/>
      <c r="AA21" s="17" t="n">
        <v>4</v>
      </c>
      <c r="AB21" s="17" t="n"/>
      <c r="AC21" s="17" t="n">
        <v>5</v>
      </c>
      <c r="AD21" s="17" t="n"/>
      <c r="AE21" s="17" t="n">
        <v>6</v>
      </c>
      <c r="AF21" s="16" t="n"/>
      <c r="AG21" s="48" t="n"/>
    </row>
    <row r="22" ht="7.5" customHeight="1">
      <c r="A22" s="48" t="n"/>
      <c r="B22" s="12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6" t="n"/>
      <c r="Q22" s="48" t="n"/>
      <c r="R22" s="12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6" t="n"/>
      <c r="AG22" s="48" t="n"/>
    </row>
    <row r="23" ht="12.75" customHeight="1">
      <c r="A23" s="48" t="n"/>
      <c r="B23" s="12" t="n"/>
      <c r="C23" s="13" t="n"/>
      <c r="D23" s="14" t="n"/>
      <c r="E23" s="14" t="inlineStr">
        <is>
          <t>Citrus</t>
        </is>
      </c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6" t="n"/>
      <c r="Q23" s="48">
        <f>IF(ISBLANK(C23),0,Q20)</f>
        <v/>
      </c>
      <c r="R23" s="12" t="n"/>
      <c r="S23" s="13" t="n"/>
      <c r="T23" s="14" t="n"/>
      <c r="U23" s="14" t="inlineStr">
        <is>
          <t>Citrus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6" t="n"/>
      <c r="AG23" s="48">
        <f>IF(ISBLANK(S23),0,AG20)</f>
        <v/>
      </c>
    </row>
    <row r="24" ht="7.5" customHeight="1">
      <c r="A24" s="48" t="n"/>
      <c r="B24" s="12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6" t="n"/>
      <c r="Q24" s="48" t="n"/>
      <c r="R24" s="12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6" t="n"/>
      <c r="AG24" s="48" t="n"/>
    </row>
    <row r="25" ht="12.75" customHeight="1">
      <c r="A25" s="48" t="n"/>
      <c r="B25" s="12" t="n"/>
      <c r="C25" s="13" t="n"/>
      <c r="D25" s="14" t="n"/>
      <c r="E25" s="14" t="inlineStr">
        <is>
          <t>Tropical fruit</t>
        </is>
      </c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6" t="n"/>
      <c r="Q25" s="48">
        <f>IF(ISBLANK(C25),0,Q20)</f>
        <v/>
      </c>
      <c r="R25" s="12" t="n"/>
      <c r="S25" s="13" t="n"/>
      <c r="T25" s="14" t="n"/>
      <c r="U25" s="14" t="inlineStr">
        <is>
          <t>Tropical fruit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6" t="n"/>
      <c r="AG25" s="48">
        <f>IF(ISBLANK(S25),0,AG20)</f>
        <v/>
      </c>
    </row>
    <row r="26" ht="7.5" customHeight="1">
      <c r="A26" s="48" t="n"/>
      <c r="B26" s="12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6" t="n"/>
      <c r="Q26" s="48" t="n"/>
      <c r="R26" s="12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6" t="n"/>
      <c r="AG26" s="48" t="n"/>
    </row>
    <row r="27" ht="12.75" customHeight="1">
      <c r="A27" s="48" t="n"/>
      <c r="B27" s="12" t="n"/>
      <c r="C27" s="13" t="n"/>
      <c r="D27" s="14" t="n"/>
      <c r="E27" s="14" t="inlineStr">
        <is>
          <t>Noble hops (dried herbs, dried grass, hay)</t>
        </is>
      </c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6" t="n"/>
      <c r="Q27" s="48">
        <f>IF(ISBLANK(C27),0,Q20)</f>
        <v/>
      </c>
      <c r="R27" s="12" t="n"/>
      <c r="S27" s="13" t="n"/>
      <c r="T27" s="14" t="n"/>
      <c r="U27" s="14" t="inlineStr">
        <is>
          <t>Noble hops (dried herbs, dried grass, hay)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6" t="n"/>
      <c r="AG27" s="48">
        <f>IF(ISBLANK(S27),0,AG20)</f>
        <v/>
      </c>
    </row>
    <row r="28" ht="7.5" customHeight="1">
      <c r="A28" s="48" t="n"/>
      <c r="B28" s="1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6" t="n"/>
      <c r="Q28" s="48" t="n"/>
      <c r="R28" s="12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6" t="n"/>
      <c r="AG28" s="48" t="n"/>
    </row>
    <row r="29" ht="12.75" customHeight="1">
      <c r="A29" s="48" t="n"/>
      <c r="B29" s="12" t="n"/>
      <c r="C29" s="13" t="n"/>
      <c r="D29" s="14" t="n"/>
      <c r="E29" s="14" t="inlineStr">
        <is>
          <t>Pine, woody, resinous</t>
        </is>
      </c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6" t="n"/>
      <c r="Q29" s="48">
        <f>IF(ISBLANK(C29),0,Q20)</f>
        <v/>
      </c>
      <c r="R29" s="12" t="n"/>
      <c r="S29" s="13" t="n"/>
      <c r="T29" s="14" t="n"/>
      <c r="U29" s="14" t="inlineStr">
        <is>
          <t>Pine, woody, resinous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6" t="n"/>
      <c r="AG29" s="48">
        <f>IF(ISBLANK(S29),0,AG20)</f>
        <v/>
      </c>
    </row>
    <row r="30" ht="7.5" customHeight="1">
      <c r="A30" s="48" t="n"/>
      <c r="B30" s="12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16" t="n"/>
      <c r="Q30" s="48" t="n"/>
      <c r="R30" s="12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16" t="n"/>
      <c r="AG30" s="48" t="n"/>
    </row>
    <row r="31" ht="12.75" customHeight="1">
      <c r="A31" s="48" t="n"/>
      <c r="B31" s="12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16" t="n"/>
      <c r="Q31" s="48" t="n"/>
      <c r="R31" s="12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16" t="n"/>
      <c r="AG31" s="48" t="n"/>
    </row>
    <row r="32" ht="17.25" customHeight="1">
      <c r="A32" s="48" t="n"/>
      <c r="B32" s="18" t="inlineStr">
        <is>
          <t>Esters</t>
        </is>
      </c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16" t="n"/>
      <c r="Q32" s="48" t="n"/>
      <c r="R32" s="18" t="inlineStr">
        <is>
          <t>Esters</t>
        </is>
      </c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16" t="n"/>
      <c r="AG32" s="48" t="n"/>
    </row>
    <row r="33" ht="12.75" customHeight="1">
      <c r="A33" s="48" t="n"/>
      <c r="B33" s="19" t="n"/>
      <c r="C33" s="13" t="n"/>
      <c r="D33" s="14" t="n"/>
      <c r="E33" s="13" t="n"/>
      <c r="F33" s="14" t="n"/>
      <c r="G33" s="13" t="n"/>
      <c r="H33" s="14" t="n"/>
      <c r="I33" s="13" t="n"/>
      <c r="J33" s="14" t="n"/>
      <c r="K33" s="15" t="n"/>
      <c r="L33" s="14" t="n"/>
      <c r="M33" s="13" t="inlineStr">
        <is>
          <t>X</t>
        </is>
      </c>
      <c r="N33" s="14" t="n"/>
      <c r="O33" s="13" t="n"/>
      <c r="P33" s="16" t="n"/>
      <c r="Q33" s="48">
        <f>IF(ISBLANK(O33),IF(ISBLANK(M33),IF(ISBLANK(K33),IF(ISBLANK(I33),IF(ISBLANK(G33),IF(ISBLANK(E33),0,1),2),3),4),5),6)</f>
        <v/>
      </c>
      <c r="R33" s="19" t="n"/>
      <c r="S33" s="13" t="n"/>
      <c r="T33" s="14" t="n"/>
      <c r="U33" s="13" t="n"/>
      <c r="V33" s="14" t="n"/>
      <c r="W33" s="13" t="n"/>
      <c r="X33" s="14" t="n"/>
      <c r="Y33" s="13" t="n"/>
      <c r="Z33" s="14" t="n"/>
      <c r="AA33" s="15" t="inlineStr">
        <is>
          <t>X</t>
        </is>
      </c>
      <c r="AB33" s="14" t="n"/>
      <c r="AC33" s="13" t="n"/>
      <c r="AD33" s="14" t="n"/>
      <c r="AE33" s="13" t="n"/>
      <c r="AF33" s="16" t="n"/>
      <c r="AG33" s="48">
        <f>IF(ISBLANK(AE33),IF(ISBLANK(AC33),IF(ISBLANK(AA33),IF(ISBLANK(Y33),IF(ISBLANK(W33),IF(ISBLANK(U33),0,1),2),3),4),5),6)</f>
        <v/>
      </c>
    </row>
    <row r="34" ht="12.75" customHeight="1">
      <c r="A34" s="48" t="n"/>
      <c r="B34" s="19" t="n"/>
      <c r="C34" s="17" t="n">
        <v>0</v>
      </c>
      <c r="D34" s="17" t="n"/>
      <c r="E34" s="17" t="n">
        <v>1</v>
      </c>
      <c r="F34" s="17" t="n"/>
      <c r="G34" s="17" t="n">
        <v>2</v>
      </c>
      <c r="H34" s="17" t="n"/>
      <c r="I34" s="17" t="n">
        <v>3</v>
      </c>
      <c r="J34" s="17" t="n"/>
      <c r="K34" s="17" t="n">
        <v>4</v>
      </c>
      <c r="L34" s="17" t="n"/>
      <c r="M34" s="17" t="n">
        <v>5</v>
      </c>
      <c r="N34" s="17" t="n"/>
      <c r="O34" s="17" t="n">
        <v>6</v>
      </c>
      <c r="P34" s="16" t="n"/>
      <c r="Q34" s="48" t="n"/>
      <c r="R34" s="19" t="n"/>
      <c r="S34" s="17" t="n">
        <v>0</v>
      </c>
      <c r="T34" s="17" t="n"/>
      <c r="U34" s="17" t="n">
        <v>1</v>
      </c>
      <c r="V34" s="17" t="n"/>
      <c r="W34" s="17" t="n">
        <v>2</v>
      </c>
      <c r="X34" s="17" t="n"/>
      <c r="Y34" s="17" t="n">
        <v>3</v>
      </c>
      <c r="Z34" s="17" t="n"/>
      <c r="AA34" s="17" t="n">
        <v>4</v>
      </c>
      <c r="AB34" s="17" t="n"/>
      <c r="AC34" s="17" t="n">
        <v>5</v>
      </c>
      <c r="AD34" s="17" t="n"/>
      <c r="AE34" s="17" t="n">
        <v>6</v>
      </c>
      <c r="AF34" s="16" t="n"/>
      <c r="AG34" s="48" t="n"/>
    </row>
    <row r="35" ht="7.5" customHeight="1">
      <c r="A35" s="48" t="n"/>
      <c r="B35" s="19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6" t="n"/>
      <c r="Q35" s="48" t="n"/>
      <c r="R35" s="19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6" t="n"/>
      <c r="AG35" s="48" t="n"/>
    </row>
    <row r="36" ht="12.75" customHeight="1">
      <c r="A36" s="48" t="n"/>
      <c r="B36" s="19" t="n"/>
      <c r="C36" s="13" t="n"/>
      <c r="D36" s="14" t="n"/>
      <c r="E36" s="14" t="inlineStr">
        <is>
          <t>Ethyl acetate, solvent, nail polish</t>
        </is>
      </c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6" t="n"/>
      <c r="Q36" s="48">
        <f>IF(ISBLANK(C36),0,Q33)</f>
        <v/>
      </c>
      <c r="R36" s="19" t="n"/>
      <c r="S36" s="13" t="n"/>
      <c r="T36" s="14" t="n"/>
      <c r="U36" s="14" t="inlineStr">
        <is>
          <t>Ethyl acetate, solvent, nail polish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6" t="n"/>
      <c r="AG36" s="48">
        <f>IF(ISBLANK(S36),0,AG33)</f>
        <v/>
      </c>
    </row>
    <row r="37" ht="7.5" customHeight="1">
      <c r="A37" s="48" t="n"/>
      <c r="B37" s="19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6" t="n"/>
      <c r="Q37" s="48" t="n"/>
      <c r="R37" s="19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6" t="n"/>
      <c r="AG37" s="48" t="n"/>
    </row>
    <row r="38" ht="12.75" customHeight="1">
      <c r="A38" s="48" t="n"/>
      <c r="B38" s="19" t="n"/>
      <c r="C38" s="13" t="inlineStr">
        <is>
          <t>X</t>
        </is>
      </c>
      <c r="D38" s="14" t="n"/>
      <c r="E38" s="14" t="inlineStr">
        <is>
          <t>Banana, pear, candy</t>
        </is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6" t="n"/>
      <c r="Q38" s="48">
        <f>IF(ISBLANK(C38),0,Q33)</f>
        <v/>
      </c>
      <c r="R38" s="19" t="n"/>
      <c r="S38" s="13" t="inlineStr">
        <is>
          <t>X</t>
        </is>
      </c>
      <c r="T38" s="14" t="n"/>
      <c r="U38" s="14" t="inlineStr">
        <is>
          <t>Banana, pear, candy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6" t="n"/>
      <c r="AG38" s="48">
        <f>IF(ISBLANK(S38),0,AG33)</f>
        <v/>
      </c>
    </row>
    <row r="39" ht="7.5" customHeight="1">
      <c r="A39" s="48" t="n"/>
      <c r="B39" s="19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6" t="n"/>
      <c r="Q39" s="48" t="n"/>
      <c r="R39" s="19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6" t="n"/>
      <c r="AG39" s="48" t="n"/>
    </row>
    <row r="40" ht="12.75" customHeight="1">
      <c r="A40" s="48" t="n"/>
      <c r="B40" s="19" t="n"/>
      <c r="C40" s="13" t="inlineStr">
        <is>
          <t>X</t>
        </is>
      </c>
      <c r="D40" s="14" t="n"/>
      <c r="E40" s="14" t="inlineStr">
        <is>
          <t>Flowers, roses</t>
        </is>
      </c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6" t="n"/>
      <c r="Q40" s="48">
        <f>IF(ISBLANK(C40),0,Q33)</f>
        <v/>
      </c>
      <c r="R40" s="19" t="n"/>
      <c r="S40" s="13" t="inlineStr">
        <is>
          <t>X</t>
        </is>
      </c>
      <c r="T40" s="14" t="n"/>
      <c r="U40" s="14" t="inlineStr">
        <is>
          <t>Flowers, roses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6" t="n"/>
      <c r="AG40" s="48">
        <f>IF(ISBLANK(S40),0,AG33)</f>
        <v/>
      </c>
    </row>
    <row r="41" ht="7.5" customHeight="1">
      <c r="A41" s="48" t="n"/>
      <c r="B41" s="19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6" t="n"/>
      <c r="Q41" s="48" t="n"/>
      <c r="R41" s="19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6" t="n"/>
      <c r="AG41" s="48" t="n"/>
    </row>
    <row r="42" ht="12.75" customHeight="1">
      <c r="A42" s="48" t="n"/>
      <c r="B42" s="19" t="n"/>
      <c r="C42" s="13" t="inlineStr">
        <is>
          <t>X</t>
        </is>
      </c>
      <c r="D42" s="14" t="n"/>
      <c r="E42" s="14" t="inlineStr">
        <is>
          <t>Sweet, fruity, apples</t>
        </is>
      </c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6" t="n"/>
      <c r="Q42" s="48">
        <f>IF(ISBLANK(C42),0,Q33)</f>
        <v/>
      </c>
      <c r="R42" s="19" t="n"/>
      <c r="S42" s="13" t="inlineStr">
        <is>
          <t>X</t>
        </is>
      </c>
      <c r="T42" s="14" t="n"/>
      <c r="U42" s="14" t="inlineStr">
        <is>
          <t>Sweet, fruity, apples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6" t="n"/>
      <c r="AG42" s="48">
        <f>IF(ISBLANK(S42),0,AG33)</f>
        <v/>
      </c>
    </row>
    <row r="43" ht="12.75" customHeight="1">
      <c r="A43" s="48" t="n"/>
      <c r="B43" s="19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16" t="n"/>
      <c r="Q43" s="48" t="n"/>
      <c r="R43" s="19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16" t="n"/>
      <c r="AG43" s="48" t="n"/>
    </row>
    <row r="44" ht="16.5" customHeight="1">
      <c r="A44" s="48" t="n"/>
      <c r="B44" s="20" t="inlineStr">
        <is>
          <t>Acetaldehyde (green apples, peel)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16" t="n"/>
      <c r="Q44" s="48" t="n"/>
      <c r="R44" s="20" t="inlineStr">
        <is>
          <t>Acetaldehyde (green apples, peel)</t>
        </is>
      </c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16" t="n"/>
      <c r="AG44" s="48" t="n"/>
    </row>
    <row r="45" ht="12.75" customHeight="1">
      <c r="A45" s="48" t="n"/>
      <c r="B45" s="19" t="n"/>
      <c r="C45" s="13" t="n"/>
      <c r="D45" s="14" t="n"/>
      <c r="E45" s="13" t="n"/>
      <c r="F45" s="14" t="n"/>
      <c r="G45" s="13" t="n"/>
      <c r="H45" s="14" t="n"/>
      <c r="I45" s="13" t="n"/>
      <c r="J45" s="14" t="n"/>
      <c r="K45" s="15" t="n"/>
      <c r="L45" s="14" t="n"/>
      <c r="M45" s="13" t="n"/>
      <c r="N45" s="14" t="n"/>
      <c r="O45" s="13" t="n"/>
      <c r="P45" s="16" t="n"/>
      <c r="Q45" s="48">
        <f>IF(ISBLANK(O45),IF(ISBLANK(M45),IF(ISBLANK(K45),IF(ISBLANK(I45),IF(ISBLANK(G45),IF(ISBLANK(E45),0,1),2),3),4),5),6)</f>
        <v/>
      </c>
      <c r="R45" s="19" t="n"/>
      <c r="S45" s="13" t="n"/>
      <c r="T45" s="14" t="n"/>
      <c r="U45" s="13" t="n"/>
      <c r="V45" s="14" t="n"/>
      <c r="W45" s="13" t="n"/>
      <c r="X45" s="14" t="n"/>
      <c r="Y45" s="13" t="n"/>
      <c r="Z45" s="14" t="n"/>
      <c r="AA45" s="15" t="n"/>
      <c r="AB45" s="14" t="n"/>
      <c r="AC45" s="13" t="n"/>
      <c r="AD45" s="14" t="n"/>
      <c r="AE45" s="13" t="n"/>
      <c r="AF45" s="16" t="n"/>
      <c r="AG45" s="48">
        <f>IF(ISBLANK(AE45),IF(ISBLANK(AC45),IF(ISBLANK(AA45),IF(ISBLANK(Y45),IF(ISBLANK(W45),IF(ISBLANK(U45),0,1),2),3),4),5),6)</f>
        <v/>
      </c>
    </row>
    <row r="46" ht="12.75" customHeight="1">
      <c r="A46" s="48" t="n"/>
      <c r="B46" s="19" t="n"/>
      <c r="C46" s="17" t="n">
        <v>0</v>
      </c>
      <c r="D46" s="17" t="n"/>
      <c r="E46" s="17" t="n">
        <v>1</v>
      </c>
      <c r="F46" s="17" t="n"/>
      <c r="G46" s="17" t="n">
        <v>2</v>
      </c>
      <c r="H46" s="17" t="n"/>
      <c r="I46" s="17" t="n">
        <v>3</v>
      </c>
      <c r="J46" s="17" t="n"/>
      <c r="K46" s="17" t="n">
        <v>4</v>
      </c>
      <c r="L46" s="17" t="n"/>
      <c r="M46" s="17" t="n">
        <v>5</v>
      </c>
      <c r="N46" s="17" t="n"/>
      <c r="O46" s="17" t="n">
        <v>6</v>
      </c>
      <c r="P46" s="16" t="n"/>
      <c r="Q46" s="48" t="n"/>
      <c r="R46" s="19" t="n"/>
      <c r="S46" s="17" t="n">
        <v>0</v>
      </c>
      <c r="T46" s="17" t="n"/>
      <c r="U46" s="17" t="n">
        <v>1</v>
      </c>
      <c r="V46" s="17" t="n"/>
      <c r="W46" s="17" t="n">
        <v>2</v>
      </c>
      <c r="X46" s="17" t="n"/>
      <c r="Y46" s="17" t="n">
        <v>3</v>
      </c>
      <c r="Z46" s="17" t="n"/>
      <c r="AA46" s="17" t="n">
        <v>4</v>
      </c>
      <c r="AB46" s="17" t="n"/>
      <c r="AC46" s="17" t="n">
        <v>5</v>
      </c>
      <c r="AD46" s="17" t="n"/>
      <c r="AE46" s="17" t="n">
        <v>6</v>
      </c>
      <c r="AF46" s="16" t="n"/>
      <c r="AG46" s="48" t="n"/>
    </row>
    <row r="47" ht="12.75" customHeight="1">
      <c r="A47" s="48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3" t="n"/>
      <c r="Q47" s="48" t="n"/>
      <c r="R47" s="21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3" t="n"/>
      <c r="AG47" s="48" t="n"/>
    </row>
    <row r="48" ht="7.5" customHeight="1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</row>
    <row r="49" ht="17.25" customHeight="1">
      <c r="A49" s="48" t="n"/>
      <c r="B49" s="24" t="inlineStr">
        <is>
          <t>Body</t>
        </is>
      </c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24" t="inlineStr">
        <is>
          <t>Alcohol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</row>
    <row r="50" ht="12.75" customHeight="1">
      <c r="A50" s="48" t="n"/>
      <c r="B50" s="48" t="n"/>
      <c r="C50" s="13" t="n"/>
      <c r="D50" s="14" t="n"/>
      <c r="E50" s="13" t="inlineStr">
        <is>
          <t>X</t>
        </is>
      </c>
      <c r="F50" s="14" t="n"/>
      <c r="G50" s="13" t="n"/>
      <c r="H50" s="14" t="n"/>
      <c r="I50" s="13" t="n"/>
      <c r="J50" s="14" t="n"/>
      <c r="K50" s="15" t="n"/>
      <c r="L50" s="14" t="n"/>
      <c r="M50" s="13" t="n"/>
      <c r="N50" s="14" t="n"/>
      <c r="O50" s="13" t="n"/>
      <c r="P50" s="48" t="n"/>
      <c r="Q50" s="48">
        <f>IF(ISBLANK(O50),IF(ISBLANK(M50),IF(ISBLANK(K50),IF(ISBLANK(I50),IF(ISBLANK(G50),IF(ISBLANK(E50),0,1),2),3),4),5),6)</f>
        <v/>
      </c>
      <c r="R50" s="48" t="n"/>
      <c r="S50" s="13" t="n"/>
      <c r="T50" s="14" t="n"/>
      <c r="U50" s="13" t="inlineStr">
        <is>
          <t>X</t>
        </is>
      </c>
      <c r="V50" s="14" t="n"/>
      <c r="W50" s="13" t="n"/>
      <c r="X50" s="14" t="n"/>
      <c r="Y50" s="13" t="n"/>
      <c r="Z50" s="14" t="n"/>
      <c r="AA50" s="15" t="n"/>
      <c r="AB50" s="14" t="n"/>
      <c r="AC50" s="13" t="n"/>
      <c r="AD50" s="14" t="n"/>
      <c r="AE50" s="13" t="n"/>
      <c r="AF50" s="48" t="n"/>
      <c r="AG50" s="48">
        <f>IF(ISBLANK(AE50),IF(ISBLANK(AC50),IF(ISBLANK(AA50),IF(ISBLANK(Y50),IF(ISBLANK(W50),IF(ISBLANK(U50),0,1),2),3),4),5),6)</f>
        <v/>
      </c>
    </row>
    <row r="51" ht="12.75" customHeight="1">
      <c r="A51" s="48" t="n"/>
      <c r="B51" s="48" t="n"/>
      <c r="C51" s="17" t="n">
        <v>0</v>
      </c>
      <c r="D51" s="17" t="n"/>
      <c r="E51" s="17" t="n">
        <v>1</v>
      </c>
      <c r="F51" s="17" t="n"/>
      <c r="G51" s="17" t="n">
        <v>2</v>
      </c>
      <c r="H51" s="17" t="n"/>
      <c r="I51" s="17" t="n">
        <v>3</v>
      </c>
      <c r="J51" s="17" t="n"/>
      <c r="K51" s="17" t="n">
        <v>4</v>
      </c>
      <c r="L51" s="17" t="n"/>
      <c r="M51" s="17" t="n">
        <v>5</v>
      </c>
      <c r="N51" s="17" t="n"/>
      <c r="O51" s="17" t="n">
        <v>6</v>
      </c>
      <c r="P51" s="48" t="n"/>
      <c r="Q51" s="48" t="n"/>
      <c r="R51" s="48" t="n"/>
      <c r="S51" s="17" t="n">
        <v>0</v>
      </c>
      <c r="T51" s="17" t="n"/>
      <c r="U51" s="17" t="n">
        <v>1</v>
      </c>
      <c r="V51" s="17" t="n"/>
      <c r="W51" s="17" t="n">
        <v>2</v>
      </c>
      <c r="X51" s="17" t="n"/>
      <c r="Y51" s="17" t="n">
        <v>3</v>
      </c>
      <c r="Z51" s="17" t="n"/>
      <c r="AA51" s="17" t="n">
        <v>4</v>
      </c>
      <c r="AB51" s="17" t="n"/>
      <c r="AC51" s="17" t="n">
        <v>5</v>
      </c>
      <c r="AD51" s="17" t="n"/>
      <c r="AE51" s="17" t="n">
        <v>6</v>
      </c>
      <c r="AF51" s="48" t="n"/>
      <c r="AG51" s="48" t="n"/>
    </row>
    <row r="52" ht="7.5" customHeight="1">
      <c r="A52" s="48" t="n"/>
      <c r="B52" s="4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48" t="n"/>
      <c r="Q52" s="48" t="n"/>
      <c r="R52" s="48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48" t="n"/>
      <c r="AG52" s="48" t="n"/>
    </row>
    <row r="53" ht="17.25" customHeight="1">
      <c r="A53" s="48" t="n"/>
      <c r="B53" s="25" t="inlineStr">
        <is>
          <t>Bitterness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48" t="n"/>
      <c r="Q53" s="48" t="n"/>
      <c r="R53" s="24" t="inlineStr">
        <is>
          <t>Sweetness</t>
        </is>
      </c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48" t="n"/>
      <c r="AG53" s="48" t="n"/>
    </row>
    <row r="54" ht="12.75" customHeight="1">
      <c r="A54" s="48" t="n"/>
      <c r="B54" s="48" t="n"/>
      <c r="C54" s="13" t="inlineStr">
        <is>
          <t>X</t>
        </is>
      </c>
      <c r="D54" s="14" t="n"/>
      <c r="E54" s="13" t="n"/>
      <c r="F54" s="14" t="n"/>
      <c r="G54" s="13" t="n"/>
      <c r="H54" s="14" t="n"/>
      <c r="I54" s="13" t="n"/>
      <c r="J54" s="14" t="n"/>
      <c r="K54" s="15" t="n"/>
      <c r="L54" s="14" t="n"/>
      <c r="M54" s="13" t="n"/>
      <c r="N54" s="14" t="n"/>
      <c r="O54" s="13" t="n"/>
      <c r="P54" s="48" t="n"/>
      <c r="Q54" s="48">
        <f>IF(ISBLANK(O54),IF(ISBLANK(M54),IF(ISBLANK(K54),IF(ISBLANK(I54),IF(ISBLANK(G54),IF(ISBLANK(E54),0,1),2),3),4),5),6)</f>
        <v/>
      </c>
      <c r="R54" s="48" t="n"/>
      <c r="S54" s="13" t="n"/>
      <c r="T54" s="14" t="n"/>
      <c r="U54" s="13" t="n"/>
      <c r="V54" s="14" t="n"/>
      <c r="W54" s="13" t="n"/>
      <c r="X54" s="14" t="n"/>
      <c r="Y54" s="13" t="n"/>
      <c r="Z54" s="14" t="n"/>
      <c r="AA54" s="15" t="n"/>
      <c r="AB54" s="14" t="n"/>
      <c r="AC54" s="13" t="n"/>
      <c r="AD54" s="14" t="n"/>
      <c r="AE54" s="13" t="inlineStr">
        <is>
          <t>X</t>
        </is>
      </c>
      <c r="AF54" s="48" t="n"/>
      <c r="AG54" s="48">
        <f>IF(ISBLANK(AE54),IF(ISBLANK(AC54),IF(ISBLANK(AA54),IF(ISBLANK(Y54),IF(ISBLANK(W54),IF(ISBLANK(U54),0,1),2),3),4),5),6)</f>
        <v/>
      </c>
    </row>
    <row r="55" ht="12.75" customHeight="1">
      <c r="A55" s="48" t="n"/>
      <c r="B55" s="48" t="n"/>
      <c r="C55" s="17" t="n">
        <v>0</v>
      </c>
      <c r="D55" s="17" t="n"/>
      <c r="E55" s="17" t="n">
        <v>1</v>
      </c>
      <c r="F55" s="17" t="n"/>
      <c r="G55" s="17" t="n">
        <v>2</v>
      </c>
      <c r="H55" s="17" t="n"/>
      <c r="I55" s="17" t="n">
        <v>3</v>
      </c>
      <c r="J55" s="17" t="n"/>
      <c r="K55" s="17" t="n">
        <v>4</v>
      </c>
      <c r="L55" s="17" t="n"/>
      <c r="M55" s="17" t="n">
        <v>5</v>
      </c>
      <c r="N55" s="17" t="n"/>
      <c r="O55" s="17" t="n">
        <v>6</v>
      </c>
      <c r="P55" s="48" t="n"/>
      <c r="Q55" s="48" t="n"/>
      <c r="R55" s="48" t="n"/>
      <c r="S55" s="17" t="n">
        <v>0</v>
      </c>
      <c r="T55" s="17" t="n"/>
      <c r="U55" s="17" t="n">
        <v>1</v>
      </c>
      <c r="V55" s="17" t="n"/>
      <c r="W55" s="17" t="n">
        <v>2</v>
      </c>
      <c r="X55" s="17" t="n"/>
      <c r="Y55" s="17" t="n">
        <v>3</v>
      </c>
      <c r="Z55" s="17" t="n"/>
      <c r="AA55" s="17" t="n">
        <v>4</v>
      </c>
      <c r="AB55" s="17" t="n"/>
      <c r="AC55" s="17" t="n">
        <v>5</v>
      </c>
      <c r="AD55" s="17" t="n"/>
      <c r="AE55" s="17" t="n">
        <v>6</v>
      </c>
      <c r="AF55" s="48" t="n"/>
      <c r="AG55" s="48" t="n"/>
    </row>
    <row r="56" ht="7.5" customHeight="1">
      <c r="A56" s="48" t="n"/>
      <c r="B56" s="4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48" t="n"/>
      <c r="Q56" s="48" t="n"/>
      <c r="R56" s="48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48" t="n"/>
      <c r="AG56" s="48" t="n"/>
    </row>
    <row r="57" ht="17.25" customHeight="1">
      <c r="A57" s="48" t="n"/>
      <c r="B57" s="25" t="inlineStr">
        <is>
          <t>Carbonation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48" t="n"/>
      <c r="Q57" s="48" t="n"/>
      <c r="R57" s="25" t="inlineStr">
        <is>
          <t>Acidity/sourness</t>
        </is>
      </c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48" t="n"/>
      <c r="AG57" s="48" t="n"/>
    </row>
    <row r="58" ht="17.25" customHeight="1">
      <c r="A58" s="48" t="n"/>
      <c r="B58" s="5" t="n"/>
      <c r="C58" s="13" t="n"/>
      <c r="D58" s="14" t="n"/>
      <c r="E58" s="13" t="inlineStr">
        <is>
          <t>X</t>
        </is>
      </c>
      <c r="F58" s="14" t="n"/>
      <c r="G58" s="13" t="n"/>
      <c r="H58" s="14" t="n"/>
      <c r="I58" s="13" t="n"/>
      <c r="J58" s="14" t="n"/>
      <c r="K58" s="15" t="n"/>
      <c r="L58" s="14" t="n"/>
      <c r="M58" s="13" t="n"/>
      <c r="N58" s="14" t="n"/>
      <c r="O58" s="13" t="n"/>
      <c r="P58" s="48" t="n"/>
      <c r="Q58" s="48">
        <f>IF(ISBLANK(O58),IF(ISBLANK(M58),IF(ISBLANK(K58),IF(ISBLANK(I58),IF(ISBLANK(G58),IF(ISBLANK(E58),0,1),2),3),4),5),6)</f>
        <v/>
      </c>
      <c r="R58" s="48" t="n"/>
      <c r="S58" s="13" t="n"/>
      <c r="T58" s="14" t="n"/>
      <c r="U58" s="13" t="n"/>
      <c r="V58" s="14" t="n"/>
      <c r="W58" s="13" t="n"/>
      <c r="X58" s="14" t="n"/>
      <c r="Y58" s="13" t="inlineStr">
        <is>
          <t>X</t>
        </is>
      </c>
      <c r="Z58" s="14" t="n"/>
      <c r="AA58" s="15" t="n"/>
      <c r="AB58" s="14" t="n"/>
      <c r="AC58" s="13" t="n"/>
      <c r="AD58" s="14" t="n"/>
      <c r="AE58" s="13" t="n"/>
      <c r="AF58" s="48" t="n"/>
      <c r="AG58" s="48">
        <f>IF(ISBLANK(AE58),IF(ISBLANK(AC58),IF(ISBLANK(AA58),IF(ISBLANK(Y58),IF(ISBLANK(W58),IF(ISBLANK(U58),0,1),2),3),4),5),6)</f>
        <v/>
      </c>
    </row>
    <row r="59" ht="12.75" customHeight="1">
      <c r="A59" s="48" t="n"/>
      <c r="B59" s="48" t="n"/>
      <c r="C59" s="17" t="n">
        <v>0</v>
      </c>
      <c r="D59" s="17" t="n"/>
      <c r="E59" s="17" t="n">
        <v>1</v>
      </c>
      <c r="F59" s="17" t="n"/>
      <c r="G59" s="17" t="n">
        <v>2</v>
      </c>
      <c r="H59" s="17" t="n"/>
      <c r="I59" s="17" t="n">
        <v>3</v>
      </c>
      <c r="J59" s="17" t="n"/>
      <c r="K59" s="17" t="n">
        <v>4</v>
      </c>
      <c r="L59" s="17" t="n"/>
      <c r="M59" s="17" t="n">
        <v>5</v>
      </c>
      <c r="N59" s="17" t="n"/>
      <c r="O59" s="17" t="n">
        <v>6</v>
      </c>
      <c r="P59" s="48" t="n"/>
      <c r="Q59" s="48" t="n"/>
      <c r="R59" s="48" t="n"/>
      <c r="S59" s="17" t="n">
        <v>0</v>
      </c>
      <c r="T59" s="17" t="n"/>
      <c r="U59" s="17" t="n">
        <v>1</v>
      </c>
      <c r="V59" s="17" t="n"/>
      <c r="W59" s="17" t="n">
        <v>2</v>
      </c>
      <c r="X59" s="17" t="n"/>
      <c r="Y59" s="17" t="n">
        <v>3</v>
      </c>
      <c r="Z59" s="17" t="n"/>
      <c r="AA59" s="17" t="n">
        <v>4</v>
      </c>
      <c r="AB59" s="17" t="n"/>
      <c r="AC59" s="17" t="n">
        <v>5</v>
      </c>
      <c r="AD59" s="17" t="n"/>
      <c r="AE59" s="17" t="n">
        <v>6</v>
      </c>
      <c r="AF59" s="48" t="n"/>
      <c r="AG59" s="48" t="n"/>
    </row>
    <row r="60" ht="8.25" customHeight="1">
      <c r="A60" s="48" t="n"/>
      <c r="B60" s="4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48" t="n"/>
      <c r="Q60" s="48" t="n"/>
      <c r="R60" s="48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48" t="n"/>
      <c r="AG60" s="48" t="n"/>
    </row>
    <row r="61" ht="17.25" customHeight="1">
      <c r="A61" s="48" t="n"/>
      <c r="B61" s="25" t="inlineStr">
        <is>
          <t>Aftertaste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48" t="n"/>
      <c r="Q61" s="48" t="n"/>
      <c r="R61" s="48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48" t="n"/>
      <c r="AG61" s="48" t="n"/>
    </row>
    <row r="62" ht="12.75" customHeight="1">
      <c r="A62" s="48" t="n"/>
      <c r="B62" s="48" t="n"/>
      <c r="C62" s="13" t="n"/>
      <c r="D62" s="14" t="n"/>
      <c r="E62" s="13" t="n"/>
      <c r="F62" s="14" t="n"/>
      <c r="G62" s="13" t="inlineStr">
        <is>
          <t>X</t>
        </is>
      </c>
      <c r="H62" s="14" t="n"/>
      <c r="I62" s="13" t="n"/>
      <c r="J62" s="14" t="n"/>
      <c r="K62" s="15" t="n"/>
      <c r="L62" s="14" t="n"/>
      <c r="M62" s="13" t="n"/>
      <c r="N62" s="14" t="n"/>
      <c r="O62" s="13" t="n"/>
      <c r="P62" s="48" t="n"/>
      <c r="Q62" s="48">
        <f>IF(ISBLANK(O62),IF(ISBLANK(M62),IF(ISBLANK(K62),IF(ISBLANK(I62),IF(ISBLANK(G62),IF(ISBLANK(E62),0,1),2),3),4),5),6)</f>
        <v/>
      </c>
      <c r="R62" s="48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48" t="n"/>
      <c r="AG62" s="48">
        <f>IF(ISBLANK(AE62),IF(ISBLANK(AC62),IF(ISBLANK(AA62),IF(ISBLANK(Y62),IF(ISBLANK(W62),IF(ISBLANK(U62),0,1),2),3),4),5),6)</f>
        <v/>
      </c>
    </row>
    <row r="63" ht="12.75" customHeight="1">
      <c r="A63" s="48" t="n"/>
      <c r="B63" s="48" t="n"/>
      <c r="C63" s="17" t="n">
        <v>0</v>
      </c>
      <c r="D63" s="17" t="n"/>
      <c r="E63" s="17" t="n">
        <v>1</v>
      </c>
      <c r="F63" s="17" t="n"/>
      <c r="G63" s="17" t="n">
        <v>2</v>
      </c>
      <c r="H63" s="17" t="n"/>
      <c r="I63" s="17" t="n">
        <v>3</v>
      </c>
      <c r="J63" s="17" t="n"/>
      <c r="K63" s="17" t="n">
        <v>4</v>
      </c>
      <c r="L63" s="17" t="n"/>
      <c r="M63" s="17" t="n">
        <v>5</v>
      </c>
      <c r="N63" s="17" t="n"/>
      <c r="O63" s="17" t="n">
        <v>6</v>
      </c>
      <c r="P63" s="48" t="n"/>
      <c r="Q63" s="48" t="n"/>
      <c r="R63" s="48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48" t="n"/>
    </row>
    <row r="64" ht="6.75" customHeight="1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</row>
    <row r="65" ht="6.75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</row>
    <row r="66" ht="19.5" customHeight="1">
      <c r="A66" s="48" t="n"/>
      <c r="B66" s="2" t="inlineStr">
        <is>
          <t>Faults</t>
        </is>
      </c>
    </row>
    <row r="67" ht="15.75" customHeight="1">
      <c r="A67" s="48" t="n"/>
      <c r="B67" s="27" t="inlineStr">
        <is>
          <t>DMS (cooked cabbage, corn)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28" t="inlineStr">
        <is>
          <t>Trans-2-nonenal (wet cardboard, old attic, papery)</t>
        </is>
      </c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1" t="n"/>
    </row>
    <row r="68" ht="15.75" customHeight="1">
      <c r="A68" s="48" t="n"/>
      <c r="B68" s="29" t="n"/>
      <c r="C68" s="15" t="inlineStr">
        <is>
          <t>X</t>
        </is>
      </c>
      <c r="D68" s="14" t="n"/>
      <c r="E68" s="13" t="n"/>
      <c r="F68" s="14" t="n"/>
      <c r="G68" s="13" t="n"/>
      <c r="H68" s="14" t="n"/>
      <c r="I68" s="13" t="n"/>
      <c r="J68" s="14" t="n"/>
      <c r="K68" s="13" t="n"/>
      <c r="L68" s="14" t="n"/>
      <c r="M68" s="13" t="n"/>
      <c r="N68" s="14" t="n"/>
      <c r="O68" s="13" t="n"/>
      <c r="P68" s="48" t="n"/>
      <c r="Q68" s="48">
        <f>IF(ISBLANK(O68),IF(ISBLANK(M68),IF(ISBLANK(K68),IF(ISBLANK(I68),IF(ISBLANK(G68),IF(ISBLANK(E68),0,1),2),3),4),5),6)</f>
        <v/>
      </c>
      <c r="R68" s="14" t="n"/>
      <c r="S68" s="15" t="n"/>
      <c r="T68" s="14" t="n"/>
      <c r="U68" s="13" t="n"/>
      <c r="V68" s="14" t="n"/>
      <c r="W68" s="13" t="n"/>
      <c r="X68" s="14" t="n"/>
      <c r="Y68" s="13" t="n"/>
      <c r="Z68" s="14" t="n"/>
      <c r="AA68" s="13" t="inlineStr">
        <is>
          <t>X</t>
        </is>
      </c>
      <c r="AB68" s="14" t="n"/>
      <c r="AC68" s="13" t="n"/>
      <c r="AD68" s="14" t="n"/>
      <c r="AE68" s="13" t="n"/>
      <c r="AF68" s="16" t="n"/>
      <c r="AG68" s="48">
        <f>IF(ISBLANK(AE68),IF(ISBLANK(AC68),IF(ISBLANK(AA68),IF(ISBLANK(Y68),IF(ISBLANK(W68),IF(ISBLANK(U68),0,1),2),3),4),5),6)</f>
        <v/>
      </c>
    </row>
    <row r="69" ht="15.75" customHeight="1">
      <c r="A69" s="48" t="n"/>
      <c r="B69" s="29" t="n"/>
      <c r="C69" s="17" t="n">
        <v>0</v>
      </c>
      <c r="D69" s="17" t="n"/>
      <c r="E69" s="17" t="n">
        <v>1</v>
      </c>
      <c r="F69" s="17" t="n"/>
      <c r="G69" s="17" t="n">
        <v>2</v>
      </c>
      <c r="H69" s="17" t="n"/>
      <c r="I69" s="17" t="n">
        <v>3</v>
      </c>
      <c r="J69" s="17" t="n"/>
      <c r="K69" s="17" t="n">
        <v>4</v>
      </c>
      <c r="L69" s="17" t="n"/>
      <c r="M69" s="17" t="n">
        <v>5</v>
      </c>
      <c r="N69" s="17" t="n"/>
      <c r="O69" s="17" t="n">
        <v>6</v>
      </c>
      <c r="P69" s="48" t="n"/>
      <c r="Q69" s="48" t="n"/>
      <c r="R69" s="14" t="n"/>
      <c r="S69" s="17" t="n">
        <v>0</v>
      </c>
      <c r="T69" s="17" t="n"/>
      <c r="U69" s="17" t="n">
        <v>1</v>
      </c>
      <c r="V69" s="17" t="n"/>
      <c r="W69" s="17" t="n">
        <v>2</v>
      </c>
      <c r="X69" s="17" t="n"/>
      <c r="Y69" s="17" t="n">
        <v>3</v>
      </c>
      <c r="Z69" s="17" t="n"/>
      <c r="AA69" s="17" t="n">
        <v>4</v>
      </c>
      <c r="AB69" s="17" t="n"/>
      <c r="AC69" s="17" t="n">
        <v>5</v>
      </c>
      <c r="AD69" s="17" t="n"/>
      <c r="AE69" s="17" t="n">
        <v>6</v>
      </c>
      <c r="AF69" s="16" t="n"/>
      <c r="AG69" s="48" t="n"/>
    </row>
    <row r="70" ht="7.5" customHeight="1">
      <c r="A70" s="48" t="n"/>
      <c r="B70" s="29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48" t="n"/>
      <c r="Q70" s="48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6" t="n"/>
      <c r="AG70" s="48" t="n"/>
    </row>
    <row r="71" ht="15.75" customHeight="1">
      <c r="A71" s="48" t="n"/>
      <c r="B71" s="30" t="inlineStr">
        <is>
          <t>Metallic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48" t="n"/>
      <c r="Q71" s="48" t="n"/>
      <c r="R71" s="31" t="inlineStr">
        <is>
          <t>Diacetyl (buttery, caramel/butterscotch)</t>
        </is>
      </c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6" t="n"/>
      <c r="AG71" s="48" t="n"/>
    </row>
    <row r="72" ht="15.75" customHeight="1">
      <c r="A72" s="48" t="n"/>
      <c r="B72" s="29" t="n"/>
      <c r="C72" s="15" t="n"/>
      <c r="D72" s="14" t="n"/>
      <c r="E72" s="13" t="n"/>
      <c r="F72" s="14" t="n"/>
      <c r="G72" s="13" t="inlineStr">
        <is>
          <t>X</t>
        </is>
      </c>
      <c r="H72" s="14" t="n"/>
      <c r="I72" s="13" t="n"/>
      <c r="J72" s="14" t="n"/>
      <c r="K72" s="13" t="n"/>
      <c r="L72" s="14" t="n"/>
      <c r="M72" s="13" t="n"/>
      <c r="N72" s="14" t="n"/>
      <c r="O72" s="13" t="n"/>
      <c r="P72" s="48" t="n"/>
      <c r="Q72" s="48">
        <f>IF(ISBLANK(O72),IF(ISBLANK(M72),IF(ISBLANK(K72),IF(ISBLANK(I72),IF(ISBLANK(G72),IF(ISBLANK(E72),0,1),2),3),4),5),6)</f>
        <v/>
      </c>
      <c r="R72" s="14" t="n"/>
      <c r="S72" s="15" t="n"/>
      <c r="T72" s="14" t="n"/>
      <c r="U72" s="13" t="n"/>
      <c r="V72" s="14" t="n"/>
      <c r="W72" s="13" t="n"/>
      <c r="X72" s="14" t="n"/>
      <c r="Y72" s="13" t="n"/>
      <c r="Z72" s="14" t="n"/>
      <c r="AA72" s="13" t="n"/>
      <c r="AB72" s="14" t="n"/>
      <c r="AC72" s="13" t="n"/>
      <c r="AD72" s="14" t="n"/>
      <c r="AE72" s="13" t="inlineStr">
        <is>
          <t>X</t>
        </is>
      </c>
      <c r="AF72" s="16" t="n"/>
      <c r="AG72" s="48">
        <f>IF(ISBLANK(AE72),IF(ISBLANK(AC72),IF(ISBLANK(AA72),IF(ISBLANK(Y72),IF(ISBLANK(W72),IF(ISBLANK(U72),0,1),2),3),4),5),6)</f>
        <v/>
      </c>
    </row>
    <row r="73" ht="15.75" customHeight="1">
      <c r="A73" s="48" t="n"/>
      <c r="B73" s="29" t="n"/>
      <c r="C73" s="17" t="n">
        <v>0</v>
      </c>
      <c r="D73" s="17" t="n"/>
      <c r="E73" s="17" t="n">
        <v>1</v>
      </c>
      <c r="F73" s="17" t="n"/>
      <c r="G73" s="17" t="n">
        <v>2</v>
      </c>
      <c r="H73" s="17" t="n"/>
      <c r="I73" s="17" t="n">
        <v>3</v>
      </c>
      <c r="J73" s="17" t="n"/>
      <c r="K73" s="17" t="n">
        <v>4</v>
      </c>
      <c r="L73" s="17" t="n"/>
      <c r="M73" s="17" t="n">
        <v>5</v>
      </c>
      <c r="N73" s="17" t="n"/>
      <c r="O73" s="17" t="n">
        <v>6</v>
      </c>
      <c r="P73" s="48" t="n"/>
      <c r="Q73" s="48" t="n"/>
      <c r="R73" s="14" t="n"/>
      <c r="S73" s="17" t="n">
        <v>0</v>
      </c>
      <c r="T73" s="17" t="n"/>
      <c r="U73" s="17" t="n">
        <v>1</v>
      </c>
      <c r="V73" s="17" t="n"/>
      <c r="W73" s="17" t="n">
        <v>2</v>
      </c>
      <c r="X73" s="17" t="n"/>
      <c r="Y73" s="17" t="n">
        <v>3</v>
      </c>
      <c r="Z73" s="17" t="n"/>
      <c r="AA73" s="17" t="n">
        <v>4</v>
      </c>
      <c r="AB73" s="17" t="n"/>
      <c r="AC73" s="17" t="n">
        <v>5</v>
      </c>
      <c r="AD73" s="17" t="n"/>
      <c r="AE73" s="17" t="n">
        <v>6</v>
      </c>
      <c r="AF73" s="16" t="n"/>
      <c r="AG73" s="48" t="n"/>
    </row>
    <row r="74" ht="7.5" customHeight="1">
      <c r="A74" s="48" t="n"/>
      <c r="B74" s="29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48" t="n"/>
      <c r="Q74" s="48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6" t="n"/>
      <c r="AG74" s="48" t="n"/>
    </row>
    <row r="75" ht="15.75" customHeight="1">
      <c r="A75" s="48" t="n"/>
      <c r="B75" s="30" t="inlineStr">
        <is>
          <t>4VG (smoky, clove, medicinal, dentist)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48" t="n"/>
      <c r="Q75" s="48" t="n"/>
      <c r="R75" s="31" t="inlineStr">
        <is>
          <t>Stale hops (cheesy, roquefort)</t>
        </is>
      </c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6" t="n"/>
      <c r="AG75" s="48" t="n"/>
    </row>
    <row r="76" ht="15.75" customHeight="1">
      <c r="A76" s="48" t="n"/>
      <c r="B76" s="29" t="n"/>
      <c r="C76" s="15" t="n"/>
      <c r="D76" s="14" t="n"/>
      <c r="E76" s="13" t="inlineStr">
        <is>
          <t>X</t>
        </is>
      </c>
      <c r="F76" s="14" t="n"/>
      <c r="G76" s="13" t="n"/>
      <c r="H76" s="14" t="n"/>
      <c r="I76" s="13" t="n"/>
      <c r="J76" s="14" t="n"/>
      <c r="K76" s="13" t="n"/>
      <c r="L76" s="14" t="n"/>
      <c r="M76" s="13" t="n"/>
      <c r="N76" s="14" t="n"/>
      <c r="O76" s="13" t="n"/>
      <c r="P76" s="48" t="n"/>
      <c r="Q76" s="48">
        <f>IF(ISBLANK(O76),IF(ISBLANK(M76),IF(ISBLANK(K76),IF(ISBLANK(I76),IF(ISBLANK(G76),IF(ISBLANK(E76),0,1),2),3),4),5),6)</f>
        <v/>
      </c>
      <c r="R76" s="48" t="n"/>
      <c r="S76" s="15" t="n"/>
      <c r="T76" s="14" t="n"/>
      <c r="U76" s="13" t="n"/>
      <c r="V76" s="14" t="n"/>
      <c r="W76" s="13" t="inlineStr">
        <is>
          <t>X</t>
        </is>
      </c>
      <c r="X76" s="14" t="n"/>
      <c r="Y76" s="13" t="n"/>
      <c r="Z76" s="14" t="n"/>
      <c r="AA76" s="13" t="n"/>
      <c r="AB76" s="14" t="n"/>
      <c r="AC76" s="13" t="n"/>
      <c r="AD76" s="14" t="n"/>
      <c r="AE76" s="13" t="n"/>
      <c r="AF76" s="16" t="n"/>
      <c r="AG76" s="48">
        <f>IF(ISBLANK(AE76),IF(ISBLANK(AC76),IF(ISBLANK(AA76),IF(ISBLANK(Y76),IF(ISBLANK(W76),IF(ISBLANK(U76),0,1),2),3),4),5),6)</f>
        <v/>
      </c>
    </row>
    <row r="77" ht="15.75" customHeight="1">
      <c r="A77" s="48" t="n"/>
      <c r="B77" s="19" t="n"/>
      <c r="C77" s="17" t="n">
        <v>0</v>
      </c>
      <c r="D77" s="17" t="n"/>
      <c r="E77" s="17" t="n">
        <v>1</v>
      </c>
      <c r="F77" s="17" t="n"/>
      <c r="G77" s="17" t="n">
        <v>2</v>
      </c>
      <c r="H77" s="17" t="n"/>
      <c r="I77" s="17" t="n">
        <v>3</v>
      </c>
      <c r="J77" s="17" t="n"/>
      <c r="K77" s="17" t="n">
        <v>4</v>
      </c>
      <c r="L77" s="17" t="n"/>
      <c r="M77" s="17" t="n">
        <v>5</v>
      </c>
      <c r="N77" s="17" t="n"/>
      <c r="O77" s="17" t="n">
        <v>6</v>
      </c>
      <c r="P77" s="48" t="n"/>
      <c r="Q77" s="48" t="n"/>
      <c r="R77" s="48" t="n"/>
      <c r="S77" s="17" t="n">
        <v>0</v>
      </c>
      <c r="T77" s="17" t="n"/>
      <c r="U77" s="17" t="n">
        <v>1</v>
      </c>
      <c r="V77" s="17" t="n"/>
      <c r="W77" s="17" t="n">
        <v>2</v>
      </c>
      <c r="X77" s="17" t="n"/>
      <c r="Y77" s="17" t="n">
        <v>3</v>
      </c>
      <c r="Z77" s="17" t="n"/>
      <c r="AA77" s="17" t="n">
        <v>4</v>
      </c>
      <c r="AB77" s="17" t="n"/>
      <c r="AC77" s="17" t="n">
        <v>5</v>
      </c>
      <c r="AD77" s="17" t="n"/>
      <c r="AE77" s="17" t="n">
        <v>6</v>
      </c>
      <c r="AF77" s="16" t="n"/>
      <c r="AG77" s="48" t="n"/>
    </row>
    <row r="78" ht="7.5" customHeight="1">
      <c r="A78" s="48" t="n"/>
      <c r="B78" s="21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3" t="n"/>
      <c r="AG78" s="48" t="n"/>
    </row>
    <row r="79" ht="12.75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</row>
    <row r="80" ht="19.5" customHeight="1">
      <c r="A80" s="48" t="n"/>
      <c r="B80" s="2" t="inlineStr">
        <is>
          <t>Spiced beers</t>
        </is>
      </c>
      <c r="Q80" s="33" t="n"/>
      <c r="R80" s="2" t="inlineStr">
        <is>
          <t>Lambic/Geuze</t>
        </is>
      </c>
      <c r="AG80" s="33" t="n"/>
    </row>
    <row r="81" ht="17.25" customHeight="1">
      <c r="A81" s="48" t="n"/>
      <c r="B81" s="34" t="inlineStr">
        <is>
          <t>Orange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6" t="n"/>
      <c r="Q81" s="48" t="n"/>
      <c r="R81" s="34" t="inlineStr">
        <is>
          <t>Lactic acid</t>
        </is>
      </c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6" t="n"/>
      <c r="AG81" s="48" t="n"/>
    </row>
    <row r="82" ht="17.25" customHeight="1">
      <c r="A82" s="48" t="n"/>
      <c r="B82" s="37" t="n"/>
      <c r="C82" s="38" t="n"/>
      <c r="D82" s="39" t="n"/>
      <c r="E82" s="38" t="n"/>
      <c r="F82" s="39" t="n"/>
      <c r="G82" s="38" t="inlineStr">
        <is>
          <t>X</t>
        </is>
      </c>
      <c r="H82" s="39" t="n"/>
      <c r="I82" s="38" t="n"/>
      <c r="J82" s="39" t="n"/>
      <c r="K82" s="38" t="n"/>
      <c r="L82" s="39" t="n"/>
      <c r="M82" s="38" t="n"/>
      <c r="N82" s="39" t="n"/>
      <c r="O82" s="38" t="n"/>
      <c r="P82" s="40" t="n"/>
      <c r="Q82" s="48">
        <f>IF(ISBLANK(O82),IF(ISBLANK(M82),IF(ISBLANK(K82),IF(ISBLANK(I82),IF(ISBLANK(G82),IF(ISBLANK(E82),0,1),2),3),4),5),6)</f>
        <v/>
      </c>
      <c r="R82" s="37" t="n"/>
      <c r="S82" s="38" t="n"/>
      <c r="T82" s="39" t="n"/>
      <c r="U82" s="38" t="n"/>
      <c r="V82" s="39" t="n"/>
      <c r="W82" s="38" t="n"/>
      <c r="X82" s="39" t="n"/>
      <c r="Y82" s="38" t="n"/>
      <c r="Z82" s="39" t="n"/>
      <c r="AA82" s="38" t="inlineStr">
        <is>
          <t>X</t>
        </is>
      </c>
      <c r="AB82" s="39" t="n"/>
      <c r="AC82" s="38" t="n"/>
      <c r="AD82" s="39" t="n"/>
      <c r="AE82" s="38" t="n"/>
      <c r="AF82" s="40" t="n"/>
      <c r="AG82" s="48">
        <f>IF(ISBLANK(AE82),IF(ISBLANK(AC82),IF(ISBLANK(AA82),IF(ISBLANK(Y82),IF(ISBLANK(W82),IF(ISBLANK(U82),0,1),2),3),4),5),6)</f>
        <v/>
      </c>
    </row>
    <row r="83" ht="17.25" customHeight="1">
      <c r="A83" s="48" t="n"/>
      <c r="B83" s="37" t="n"/>
      <c r="C83" s="41" t="n">
        <v>0</v>
      </c>
      <c r="D83" s="41" t="n"/>
      <c r="E83" s="41" t="n">
        <v>1</v>
      </c>
      <c r="F83" s="41" t="n"/>
      <c r="G83" s="41" t="n">
        <v>2</v>
      </c>
      <c r="H83" s="41" t="n"/>
      <c r="I83" s="41" t="n">
        <v>3</v>
      </c>
      <c r="J83" s="41" t="n"/>
      <c r="K83" s="41" t="n">
        <v>4</v>
      </c>
      <c r="L83" s="41" t="n"/>
      <c r="M83" s="41" t="n">
        <v>5</v>
      </c>
      <c r="N83" s="41" t="n"/>
      <c r="O83" s="41" t="n">
        <v>6</v>
      </c>
      <c r="P83" s="40" t="n"/>
      <c r="Q83" s="48" t="n"/>
      <c r="R83" s="37" t="n"/>
      <c r="S83" s="41" t="n">
        <v>0</v>
      </c>
      <c r="T83" s="41" t="n"/>
      <c r="U83" s="41" t="n">
        <v>1</v>
      </c>
      <c r="V83" s="41" t="n"/>
      <c r="W83" s="41" t="n">
        <v>2</v>
      </c>
      <c r="X83" s="41" t="n"/>
      <c r="Y83" s="41" t="n">
        <v>3</v>
      </c>
      <c r="Z83" s="41" t="n"/>
      <c r="AA83" s="41" t="n">
        <v>4</v>
      </c>
      <c r="AB83" s="41" t="n"/>
      <c r="AC83" s="41" t="n">
        <v>5</v>
      </c>
      <c r="AD83" s="41" t="n"/>
      <c r="AE83" s="41" t="n">
        <v>6</v>
      </c>
      <c r="AF83" s="40" t="n"/>
      <c r="AG83" s="48" t="n"/>
    </row>
    <row r="84" ht="7.5" customHeight="1">
      <c r="A84" s="48" t="n"/>
      <c r="B84" s="37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0" t="n"/>
      <c r="Q84" s="48" t="n"/>
      <c r="R84" s="37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0" t="n"/>
      <c r="AG84" s="48" t="n"/>
    </row>
    <row r="85" ht="17.25" customHeight="1">
      <c r="A85" s="48" t="n"/>
      <c r="B85" s="42" t="inlineStr">
        <is>
          <t>Coriander</t>
        </is>
      </c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40" t="n"/>
      <c r="Q85" s="48" t="n"/>
      <c r="R85" s="43" t="inlineStr">
        <is>
          <t>Acetic acid</t>
        </is>
      </c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40" t="n"/>
      <c r="AG85" s="48" t="n"/>
    </row>
    <row r="86" ht="17.25" customHeight="1">
      <c r="A86" s="48" t="n"/>
      <c r="B86" s="37" t="n"/>
      <c r="C86" s="38" t="inlineStr">
        <is>
          <t>X</t>
        </is>
      </c>
      <c r="D86" s="39" t="n"/>
      <c r="E86" s="38" t="n"/>
      <c r="F86" s="39" t="n"/>
      <c r="G86" s="38" t="n"/>
      <c r="H86" s="39" t="n"/>
      <c r="I86" s="38" t="n"/>
      <c r="J86" s="39" t="n"/>
      <c r="K86" s="38" t="n"/>
      <c r="L86" s="39" t="n"/>
      <c r="M86" s="38" t="n"/>
      <c r="N86" s="39" t="n"/>
      <c r="O86" s="38" t="n"/>
      <c r="P86" s="40" t="n"/>
      <c r="Q86" s="48">
        <f>IF(ISBLANK(O86),IF(ISBLANK(M86),IF(ISBLANK(K86),IF(ISBLANK(I86),IF(ISBLANK(G86),IF(ISBLANK(E86),0,1),2),3),4),5),6)</f>
        <v/>
      </c>
      <c r="R86" s="37" t="n"/>
      <c r="S86" s="38" t="n"/>
      <c r="T86" s="39" t="n"/>
      <c r="U86" s="38" t="n"/>
      <c r="V86" s="39" t="n"/>
      <c r="W86" s="38" t="n"/>
      <c r="X86" s="39" t="n"/>
      <c r="Y86" s="38" t="inlineStr">
        <is>
          <t>X</t>
        </is>
      </c>
      <c r="Z86" s="39" t="n"/>
      <c r="AA86" s="38" t="n"/>
      <c r="AB86" s="39" t="n"/>
      <c r="AC86" s="38" t="n"/>
      <c r="AD86" s="39" t="n"/>
      <c r="AE86" s="38" t="n"/>
      <c r="AF86" s="40" t="n"/>
      <c r="AG86" s="48">
        <f>IF(ISBLANK(AE86),IF(ISBLANK(AC86),IF(ISBLANK(AA86),IF(ISBLANK(Y86),IF(ISBLANK(W86),IF(ISBLANK(U86),0,1),2),3),4),5),6)</f>
        <v/>
      </c>
    </row>
    <row r="87" ht="17.25" customHeight="1">
      <c r="A87" s="48" t="n"/>
      <c r="B87" s="37" t="n"/>
      <c r="C87" s="41" t="n">
        <v>0</v>
      </c>
      <c r="D87" s="41" t="n"/>
      <c r="E87" s="41" t="n">
        <v>1</v>
      </c>
      <c r="F87" s="41" t="n"/>
      <c r="G87" s="41" t="n">
        <v>2</v>
      </c>
      <c r="H87" s="41" t="n"/>
      <c r="I87" s="41" t="n">
        <v>3</v>
      </c>
      <c r="J87" s="41" t="n"/>
      <c r="K87" s="41" t="n">
        <v>4</v>
      </c>
      <c r="L87" s="41" t="n"/>
      <c r="M87" s="41" t="n">
        <v>5</v>
      </c>
      <c r="N87" s="41" t="n"/>
      <c r="O87" s="41" t="n">
        <v>6</v>
      </c>
      <c r="P87" s="40" t="n"/>
      <c r="Q87" s="48" t="n"/>
      <c r="R87" s="37" t="n"/>
      <c r="S87" s="41" t="n">
        <v>0</v>
      </c>
      <c r="T87" s="41" t="n"/>
      <c r="U87" s="41" t="n">
        <v>1</v>
      </c>
      <c r="V87" s="41" t="n"/>
      <c r="W87" s="41" t="n">
        <v>2</v>
      </c>
      <c r="X87" s="41" t="n"/>
      <c r="Y87" s="41" t="n">
        <v>3</v>
      </c>
      <c r="Z87" s="41" t="n"/>
      <c r="AA87" s="41" t="n">
        <v>4</v>
      </c>
      <c r="AB87" s="41" t="n"/>
      <c r="AC87" s="41" t="n">
        <v>5</v>
      </c>
      <c r="AD87" s="41" t="n"/>
      <c r="AE87" s="41" t="n">
        <v>6</v>
      </c>
      <c r="AF87" s="40" t="n"/>
      <c r="AG87" s="48" t="n"/>
    </row>
    <row r="88" ht="7.5" customHeight="1">
      <c r="A88" s="48" t="n"/>
      <c r="B88" s="37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0" t="n"/>
      <c r="Q88" s="48" t="n"/>
      <c r="R88" s="37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0" t="n"/>
      <c r="AG88" s="48" t="n"/>
    </row>
    <row r="89" ht="17.25" customHeight="1">
      <c r="A89" s="48" t="n"/>
      <c r="B89" s="42" t="inlineStr">
        <is>
          <t>Clove/anise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40" t="n"/>
      <c r="Q89" s="48" t="n"/>
      <c r="R89" s="42" t="inlineStr">
        <is>
          <t>Barnyard/horsey</t>
        </is>
      </c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40" t="n"/>
      <c r="AG89" s="48" t="n"/>
    </row>
    <row r="90" ht="17.25" customHeight="1">
      <c r="A90" s="48" t="n"/>
      <c r="B90" s="37" t="n"/>
      <c r="C90" s="38" t="n"/>
      <c r="D90" s="39" t="n"/>
      <c r="E90" s="38" t="inlineStr">
        <is>
          <t>X</t>
        </is>
      </c>
      <c r="F90" s="39" t="n"/>
      <c r="G90" s="38" t="n"/>
      <c r="H90" s="39" t="n"/>
      <c r="I90" s="38" t="n"/>
      <c r="J90" s="39" t="n"/>
      <c r="K90" s="38" t="n"/>
      <c r="L90" s="39" t="n"/>
      <c r="M90" s="38" t="n"/>
      <c r="N90" s="39" t="n"/>
      <c r="O90" s="38" t="n"/>
      <c r="P90" s="40" t="n"/>
      <c r="Q90" s="48">
        <f>IF(ISBLANK(O90),IF(ISBLANK(M90),IF(ISBLANK(K90),IF(ISBLANK(I90),IF(ISBLANK(G90),IF(ISBLANK(E90),0,1),2),3),4),5),6)</f>
        <v/>
      </c>
      <c r="R90" s="37" t="n"/>
      <c r="S90" s="38" t="n"/>
      <c r="T90" s="39" t="n"/>
      <c r="U90" s="38" t="n"/>
      <c r="V90" s="39" t="n"/>
      <c r="W90" s="38" t="inlineStr">
        <is>
          <t>X</t>
        </is>
      </c>
      <c r="X90" s="39" t="n"/>
      <c r="Y90" s="38" t="n"/>
      <c r="Z90" s="39" t="n"/>
      <c r="AA90" s="38" t="n"/>
      <c r="AB90" s="39" t="n"/>
      <c r="AC90" s="38" t="n"/>
      <c r="AD90" s="39" t="n"/>
      <c r="AE90" s="38" t="n"/>
      <c r="AF90" s="40" t="n"/>
      <c r="AG90" s="48">
        <f>IF(ISBLANK(AE90),IF(ISBLANK(AC90),IF(ISBLANK(AA90),IF(ISBLANK(Y90),IF(ISBLANK(W90),IF(ISBLANK(U90),0,1),2),3),4),5),6)</f>
        <v/>
      </c>
    </row>
    <row r="91" ht="12.75" customHeight="1">
      <c r="A91" s="48" t="n"/>
      <c r="B91" s="44" t="n"/>
      <c r="C91" s="45" t="n">
        <v>0</v>
      </c>
      <c r="D91" s="45" t="n"/>
      <c r="E91" s="45" t="n">
        <v>1</v>
      </c>
      <c r="F91" s="45" t="n"/>
      <c r="G91" s="45" t="n">
        <v>2</v>
      </c>
      <c r="H91" s="45" t="n"/>
      <c r="I91" s="45" t="n">
        <v>3</v>
      </c>
      <c r="J91" s="45" t="n"/>
      <c r="K91" s="45" t="n">
        <v>4</v>
      </c>
      <c r="L91" s="45" t="n"/>
      <c r="M91" s="45" t="n">
        <v>5</v>
      </c>
      <c r="N91" s="45" t="n"/>
      <c r="O91" s="45" t="n">
        <v>6</v>
      </c>
      <c r="P91" s="46" t="n"/>
      <c r="Q91" s="48" t="n"/>
      <c r="R91" s="44" t="n"/>
      <c r="S91" s="45" t="n">
        <v>0</v>
      </c>
      <c r="T91" s="45" t="n"/>
      <c r="U91" s="45" t="n">
        <v>1</v>
      </c>
      <c r="V91" s="45" t="n"/>
      <c r="W91" s="45" t="n">
        <v>2</v>
      </c>
      <c r="X91" s="45" t="n"/>
      <c r="Y91" s="45" t="n">
        <v>3</v>
      </c>
      <c r="Z91" s="45" t="n"/>
      <c r="AA91" s="45" t="n">
        <v>4</v>
      </c>
      <c r="AB91" s="45" t="n"/>
      <c r="AC91" s="45" t="n">
        <v>5</v>
      </c>
      <c r="AD91" s="45" t="n"/>
      <c r="AE91" s="45" t="n">
        <v>6</v>
      </c>
      <c r="AF91" s="46" t="n"/>
      <c r="AG91" s="48" t="n"/>
    </row>
    <row r="92" ht="7.5" customHeight="1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</row>
    <row r="93" ht="17.25" customHeight="1">
      <c r="A93" s="48" t="n"/>
      <c r="B93" s="31" t="inlineStr">
        <is>
          <t>Overall</t>
        </is>
      </c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31" t="inlineStr">
        <is>
          <t>Comments:</t>
        </is>
      </c>
      <c r="S93" s="1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8" t="n"/>
    </row>
    <row r="94" ht="12.75" customHeight="1">
      <c r="A94" s="48" t="n"/>
      <c r="B94" s="14" t="n"/>
      <c r="C94" s="13" t="n"/>
      <c r="D94" s="14" t="n"/>
      <c r="E94" s="13" t="n"/>
      <c r="F94" s="14" t="n"/>
      <c r="G94" s="13" t="inlineStr">
        <is>
          <t>X</t>
        </is>
      </c>
      <c r="H94" s="14" t="n"/>
      <c r="I94" s="13" t="n"/>
      <c r="J94" s="14" t="n"/>
      <c r="K94" s="13" t="n"/>
      <c r="L94" s="14" t="n"/>
      <c r="M94" s="13" t="n"/>
      <c r="N94" s="14" t="n"/>
      <c r="O94" s="15" t="n"/>
      <c r="P94" s="48" t="n"/>
      <c r="Q94" s="48">
        <f>IF(ISBLANK(O94),IF(ISBLANK(M94),IF(ISBLANK(K94),IF(ISBLANK(I94),IF(ISBLANK(G94),IF(ISBLANK(E94),0,1),2),3),4),5),6)</f>
        <v/>
      </c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8">
        <f>IF(ISBLANK(AE94),IF(ISBLANK(AC94),IF(ISBLANK(AA94),IF(ISBLANK(Y94),IF(ISBLANK(W94),IF(ISBLANK(U94),0,1),2),3),4),5),6)</f>
        <v/>
      </c>
    </row>
    <row r="95" ht="12.75" customHeight="1">
      <c r="A95" s="48" t="n"/>
      <c r="B95" s="48" t="n"/>
      <c r="C95" s="17" t="n">
        <v>0</v>
      </c>
      <c r="D95" s="17" t="n"/>
      <c r="E95" s="17" t="n">
        <v>1</v>
      </c>
      <c r="F95" s="17" t="n"/>
      <c r="G95" s="17" t="n">
        <v>2</v>
      </c>
      <c r="H95" s="17" t="n"/>
      <c r="I95" s="17" t="n">
        <v>3</v>
      </c>
      <c r="J95" s="17" t="n"/>
      <c r="K95" s="17" t="n">
        <v>4</v>
      </c>
      <c r="L95" s="17" t="n"/>
      <c r="M95" s="17" t="n">
        <v>5</v>
      </c>
      <c r="N95" s="17" t="n"/>
      <c r="O95" s="17" t="n">
        <v>6</v>
      </c>
      <c r="P95" s="48" t="n"/>
      <c r="Q95" s="48" t="n"/>
      <c r="R95" s="48" t="n"/>
      <c r="S95" s="48" t="inlineStr">
        <is>
          <t>相对评分（基于折外预测，非原始品评分）。预测支持度C档（参考分）：A_malt_grain, A_hops_woody, A_esters_isoaa, A_esters_flower, A_esters_fruity, F_malt_grain, F_esters_flower, diacetyl, dms, metallic, stale_hops, orange, clove, barnyard</t>
        </is>
      </c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</row>
    <row r="96" ht="7.5" customHeight="1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</row>
    <row r="97" ht="12.75" customHeight="1">
      <c r="A97" s="48" t="n"/>
      <c r="B97" s="48" t="n"/>
      <c r="C97" s="13" t="n"/>
      <c r="D97" s="48" t="n"/>
      <c r="E97" s="14" t="inlineStr">
        <is>
          <t>Not present</t>
        </is>
      </c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</row>
    <row r="98" ht="13.5" customHeight="1">
      <c r="A98" s="48" t="n"/>
      <c r="B98" s="48" t="n"/>
      <c r="C98" s="17" t="n">
        <v>0</v>
      </c>
      <c r="D98" s="26" t="n"/>
      <c r="E98" s="14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</row>
    <row r="99" ht="7.5" customHeight="1">
      <c r="A99" s="48" t="n"/>
      <c r="B99" s="48" t="n"/>
      <c r="C99" s="14" t="n"/>
      <c r="D99" s="48" t="n"/>
      <c r="E99" s="14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</row>
    <row r="100" ht="13.5" customHeight="1">
      <c r="A100" s="48" t="n"/>
      <c r="B100" s="48" t="n"/>
      <c r="C100" s="13" t="n"/>
      <c r="D100" s="48" t="n"/>
      <c r="E100" s="14" t="inlineStr">
        <is>
          <t>Predominant/overwhelming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</row>
    <row r="101" ht="13.5" customHeight="1">
      <c r="A101" s="48" t="n"/>
      <c r="B101" s="48" t="n"/>
      <c r="C101" s="17" t="n">
        <v>6</v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</row>
  </sheetData>
  <mergeCells count="6">
    <mergeCell ref="B66:AF66"/>
    <mergeCell ref="B5:P5"/>
    <mergeCell ref="B80:P80"/>
    <mergeCell ref="R80:AF80"/>
    <mergeCell ref="R5:AF5"/>
    <mergeCell ref="S93:AF93"/>
  </mergeCells>
  <pageMargins left="0.747916666666667" right="0.747916666666667" top="0.9840277777777779" bottom="0.9840277777777779" header="0.511805555555555" footer="0.511805555555555"/>
  <pageSetup orientation="portrait" paperSize="0" scale="0" firstPageNumber="0" usePrinterDefaults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3"/>
  <sheetViews>
    <sheetView zoomScale="130" zoomScaleNormal="130" workbookViewId="0">
      <selection activeCell="AJ7" sqref="AJ7"/>
    </sheetView>
  </sheetViews>
  <sheetFormatPr baseColWidth="8" defaultRowHeight="12.75"/>
  <cols>
    <col width="11.5703125" customWidth="1" min="1" max="1"/>
    <col width="2.42578125" customWidth="1" min="2" max="50"/>
    <col width="7.28515625" customWidth="1" min="51" max="51"/>
    <col width="11.5703125" customWidth="1" min="52" max="1025"/>
  </cols>
  <sheetData>
    <row r="1">
      <c r="A1" t="inlineStr">
        <is>
          <t>Beer</t>
        </is>
      </c>
      <c r="B1" t="inlineStr">
        <is>
          <t>A_malt_all</t>
        </is>
      </c>
      <c r="C1" t="inlineStr">
        <is>
          <t>A_malt_grain</t>
        </is>
      </c>
      <c r="D1" t="inlineStr">
        <is>
          <t>A_malt_bread</t>
        </is>
      </c>
      <c r="E1" t="inlineStr">
        <is>
          <t>A_malt_cara</t>
        </is>
      </c>
      <c r="F1" t="inlineStr">
        <is>
          <t>A_malt_burn</t>
        </is>
      </c>
      <c r="G1" t="inlineStr">
        <is>
          <t>A_hops_all</t>
        </is>
      </c>
      <c r="H1" t="inlineStr">
        <is>
          <t>A_hops_citrus</t>
        </is>
      </c>
      <c r="I1" t="inlineStr">
        <is>
          <t>A_hops_tropical</t>
        </is>
      </c>
      <c r="J1" t="inlineStr">
        <is>
          <t>A_hops_noble</t>
        </is>
      </c>
      <c r="K1" t="inlineStr">
        <is>
          <t>A_hops_woody</t>
        </is>
      </c>
      <c r="L1" t="inlineStr">
        <is>
          <t>A_esters_all</t>
        </is>
      </c>
      <c r="M1" t="inlineStr">
        <is>
          <t>A_esters_ethac</t>
        </is>
      </c>
      <c r="N1" t="inlineStr">
        <is>
          <t>A_esters_isoaa</t>
        </is>
      </c>
      <c r="O1" t="inlineStr">
        <is>
          <t>A_esters_flower</t>
        </is>
      </c>
      <c r="P1" t="inlineStr">
        <is>
          <t>A_ester_fruity</t>
        </is>
      </c>
      <c r="Q1" t="inlineStr">
        <is>
          <t>F_malt_all</t>
        </is>
      </c>
      <c r="R1" t="inlineStr">
        <is>
          <t>F_malt_grain</t>
        </is>
      </c>
      <c r="S1" t="inlineStr">
        <is>
          <t>F_malt_bread</t>
        </is>
      </c>
      <c r="T1" t="inlineStr">
        <is>
          <t>F_malt_cara</t>
        </is>
      </c>
      <c r="U1" t="inlineStr">
        <is>
          <t>F_malt_burn</t>
        </is>
      </c>
      <c r="V1" t="inlineStr">
        <is>
          <t>F_hops_all</t>
        </is>
      </c>
      <c r="W1" t="inlineStr">
        <is>
          <t>F_hops_citrus</t>
        </is>
      </c>
      <c r="X1" t="inlineStr">
        <is>
          <t>F_hops_tropical</t>
        </is>
      </c>
      <c r="Y1" t="inlineStr">
        <is>
          <t>F_hops_noble</t>
        </is>
      </c>
      <c r="Z1" t="inlineStr">
        <is>
          <t>F_hops_woody</t>
        </is>
      </c>
      <c r="AA1" t="inlineStr">
        <is>
          <t>F_esters_all</t>
        </is>
      </c>
      <c r="AB1" t="inlineStr">
        <is>
          <t>F_esters_ethac</t>
        </is>
      </c>
      <c r="AC1" t="inlineStr">
        <is>
          <t>F_esters_isoaa</t>
        </is>
      </c>
      <c r="AD1" t="inlineStr">
        <is>
          <t>F_esters_flower</t>
        </is>
      </c>
      <c r="AE1" t="inlineStr">
        <is>
          <t>F_ester_fruity</t>
        </is>
      </c>
      <c r="AF1" t="inlineStr">
        <is>
          <t>body</t>
        </is>
      </c>
      <c r="AG1" t="inlineStr">
        <is>
          <t>bitternes</t>
        </is>
      </c>
      <c r="AH1" t="inlineStr">
        <is>
          <t>co2</t>
        </is>
      </c>
      <c r="AI1" t="inlineStr">
        <is>
          <t>aftertaste</t>
        </is>
      </c>
      <c r="AJ1" t="inlineStr">
        <is>
          <t>alcohol</t>
        </is>
      </c>
      <c r="AK1" t="inlineStr">
        <is>
          <t>sweetness</t>
        </is>
      </c>
      <c r="AL1" t="inlineStr">
        <is>
          <t>acidity</t>
        </is>
      </c>
      <c r="AM1" t="inlineStr">
        <is>
          <t>dms</t>
        </is>
      </c>
      <c r="AN1" t="inlineStr">
        <is>
          <t>metallic</t>
        </is>
      </c>
      <c r="AO1" t="inlineStr">
        <is>
          <t>4vg</t>
        </is>
      </c>
      <c r="AP1" t="inlineStr">
        <is>
          <t>t2n</t>
        </is>
      </c>
      <c r="AQ1" t="inlineStr">
        <is>
          <t>diacetyl</t>
        </is>
      </c>
      <c r="AR1" t="inlineStr">
        <is>
          <t>stale_hops</t>
        </is>
      </c>
      <c r="AS1" t="inlineStr">
        <is>
          <t>orange</t>
        </is>
      </c>
      <c r="AT1" t="inlineStr">
        <is>
          <t>coriander</t>
        </is>
      </c>
      <c r="AU1" t="inlineStr">
        <is>
          <t>clove</t>
        </is>
      </c>
      <c r="AV1" t="inlineStr">
        <is>
          <t>lactic</t>
        </is>
      </c>
      <c r="AW1" t="inlineStr">
        <is>
          <t>acetic</t>
        </is>
      </c>
      <c r="AX1" t="inlineStr">
        <is>
          <t>barnyard</t>
        </is>
      </c>
      <c r="AY1" t="inlineStr">
        <is>
          <t>overall</t>
        </is>
      </c>
      <c r="AZ1" t="inlineStr">
        <is>
          <t>comments</t>
        </is>
      </c>
    </row>
    <row r="2">
      <c r="A2" t="n">
        <v>1</v>
      </c>
      <c r="B2">
        <f>beer_1!$Q$7</f>
        <v/>
      </c>
      <c r="C2">
        <f>beer_1!$Q$10</f>
        <v/>
      </c>
      <c r="D2">
        <f>beer_1!$Q$12</f>
        <v/>
      </c>
      <c r="E2">
        <f>beer_1!$Q$14</f>
        <v/>
      </c>
      <c r="F2">
        <f>beer_1!$Q$16</f>
        <v/>
      </c>
      <c r="G2">
        <f>beer_1!$Q$20</f>
        <v/>
      </c>
      <c r="H2">
        <f>beer_1!$Q$23</f>
        <v/>
      </c>
      <c r="I2">
        <f>beer_1!$Q$25</f>
        <v/>
      </c>
      <c r="J2">
        <f>beer_1!$Q$27</f>
        <v/>
      </c>
      <c r="K2">
        <f>beer_1!$Q$29</f>
        <v/>
      </c>
      <c r="L2">
        <f>beer_1!$Q$33</f>
        <v/>
      </c>
      <c r="M2">
        <f>beer_1!$Q$36</f>
        <v/>
      </c>
      <c r="N2">
        <f>beer_1!$Q$38</f>
        <v/>
      </c>
      <c r="O2">
        <f>beer_1!$Q$40</f>
        <v/>
      </c>
      <c r="P2">
        <f>beer_1!$Q$42</f>
        <v/>
      </c>
      <c r="Q2">
        <f>beer_1!$AG$7</f>
        <v/>
      </c>
      <c r="R2">
        <f>beer_1!$AG$10</f>
        <v/>
      </c>
      <c r="S2">
        <f>beer_1!$AG$12</f>
        <v/>
      </c>
      <c r="T2">
        <f>beer_1!$AG$14</f>
        <v/>
      </c>
      <c r="U2">
        <f>beer_1!$AG$16</f>
        <v/>
      </c>
      <c r="V2">
        <f>beer_1!$AG$20</f>
        <v/>
      </c>
      <c r="W2">
        <f>beer_1!$AG$23</f>
        <v/>
      </c>
      <c r="X2">
        <f>beer_1!$AG$25</f>
        <v/>
      </c>
      <c r="Y2">
        <f>beer_1!$AG$27</f>
        <v/>
      </c>
      <c r="Z2">
        <f>beer_1!$AG$29</f>
        <v/>
      </c>
      <c r="AA2">
        <f>beer_1!$AG$33</f>
        <v/>
      </c>
      <c r="AB2">
        <f>beer_1!$AG$36</f>
        <v/>
      </c>
      <c r="AC2">
        <f>beer_1!$AG$38</f>
        <v/>
      </c>
      <c r="AD2">
        <f>beer_1!$AG$40</f>
        <v/>
      </c>
      <c r="AE2">
        <f>beer_1!$AG$42</f>
        <v/>
      </c>
      <c r="AF2">
        <f>beer_1!$Q$50</f>
        <v/>
      </c>
      <c r="AG2">
        <f>beer_1!$Q$54</f>
        <v/>
      </c>
      <c r="AH2">
        <f>beer_1!$Q$58</f>
        <v/>
      </c>
      <c r="AI2">
        <f>beer_1!$Q$62</f>
        <v/>
      </c>
      <c r="AJ2">
        <f>beer_1!$AG$50</f>
        <v/>
      </c>
      <c r="AK2">
        <f>beer_1!$AG$54</f>
        <v/>
      </c>
      <c r="AL2">
        <f>beer_1!$AG$58</f>
        <v/>
      </c>
      <c r="AM2">
        <f>beer_1!$Q$68</f>
        <v/>
      </c>
      <c r="AN2">
        <f>beer_1!$Q$72</f>
        <v/>
      </c>
      <c r="AO2">
        <f>beer_1!$Q$76</f>
        <v/>
      </c>
      <c r="AP2">
        <f>beer_1!$AG$68</f>
        <v/>
      </c>
      <c r="AQ2">
        <f>beer_1!$AG$72</f>
        <v/>
      </c>
      <c r="AR2">
        <f>beer_1!$AG$76</f>
        <v/>
      </c>
      <c r="AS2">
        <f>beer_1!$Q$82</f>
        <v/>
      </c>
      <c r="AT2">
        <f>beer_1!$Q$86</f>
        <v/>
      </c>
      <c r="AU2">
        <f>beer_1!$Q$90</f>
        <v/>
      </c>
      <c r="AV2">
        <f>beer_1!$AG$82</f>
        <v/>
      </c>
      <c r="AW2">
        <f>beer_1!$AG$86</f>
        <v/>
      </c>
      <c r="AX2">
        <f>beer_1!$AG$90</f>
        <v/>
      </c>
      <c r="AY2">
        <f>beer_1!$Q$94</f>
        <v/>
      </c>
      <c r="AZ2">
        <f>beer_1!$S$93</f>
        <v/>
      </c>
    </row>
    <row r="3">
      <c r="A3" t="n">
        <v>2</v>
      </c>
      <c r="B3">
        <f>beer_2!$Q$7</f>
        <v/>
      </c>
      <c r="C3">
        <f>beer_2!$Q$10</f>
        <v/>
      </c>
      <c r="D3">
        <f>beer_2!$Q$12</f>
        <v/>
      </c>
      <c r="E3">
        <f>beer_2!$Q$14</f>
        <v/>
      </c>
      <c r="F3">
        <f>beer_2!$Q$16</f>
        <v/>
      </c>
      <c r="G3">
        <f>beer_2!$Q$20</f>
        <v/>
      </c>
      <c r="H3">
        <f>beer_2!$Q$23</f>
        <v/>
      </c>
      <c r="I3">
        <f>beer_2!$Q$25</f>
        <v/>
      </c>
      <c r="J3">
        <f>beer_2!$Q$27</f>
        <v/>
      </c>
      <c r="K3">
        <f>beer_2!$Q$29</f>
        <v/>
      </c>
      <c r="L3">
        <f>beer_2!$Q$33</f>
        <v/>
      </c>
      <c r="M3">
        <f>beer_2!$Q$36</f>
        <v/>
      </c>
      <c r="N3">
        <f>beer_2!$Q$38</f>
        <v/>
      </c>
      <c r="O3">
        <f>beer_2!$Q$40</f>
        <v/>
      </c>
      <c r="P3">
        <f>beer_2!$Q$42</f>
        <v/>
      </c>
      <c r="Q3">
        <f>beer_2!$AG$7</f>
        <v/>
      </c>
      <c r="R3">
        <f>beer_2!$AG$10</f>
        <v/>
      </c>
      <c r="S3">
        <f>beer_2!$AG$12</f>
        <v/>
      </c>
      <c r="T3">
        <f>beer_2!$AG$14</f>
        <v/>
      </c>
      <c r="U3">
        <f>beer_2!$AG$16</f>
        <v/>
      </c>
      <c r="V3">
        <f>beer_2!$AG$20</f>
        <v/>
      </c>
      <c r="W3">
        <f>beer_2!$AG$23</f>
        <v/>
      </c>
      <c r="X3">
        <f>beer_2!$AG$25</f>
        <v/>
      </c>
      <c r="Y3">
        <f>beer_2!$AG$27</f>
        <v/>
      </c>
      <c r="Z3">
        <f>beer_2!$AG$29</f>
        <v/>
      </c>
      <c r="AA3">
        <f>beer_2!$AG$33</f>
        <v/>
      </c>
      <c r="AB3">
        <f>beer_2!$AG$36</f>
        <v/>
      </c>
      <c r="AC3">
        <f>beer_2!$AG$38</f>
        <v/>
      </c>
      <c r="AD3">
        <f>beer_2!$AG$40</f>
        <v/>
      </c>
      <c r="AE3">
        <f>beer_2!$AG$42</f>
        <v/>
      </c>
      <c r="AF3">
        <f>beer_2!$Q$50</f>
        <v/>
      </c>
      <c r="AG3">
        <f>beer_2!$Q$54</f>
        <v/>
      </c>
      <c r="AH3">
        <f>beer_2!$Q$58</f>
        <v/>
      </c>
      <c r="AI3">
        <f>beer_2!$Q$62</f>
        <v/>
      </c>
      <c r="AJ3">
        <f>beer_2!$AG$50</f>
        <v/>
      </c>
      <c r="AK3">
        <f>beer_2!$AG$54</f>
        <v/>
      </c>
      <c r="AL3">
        <f>beer_2!$AG$58</f>
        <v/>
      </c>
      <c r="AM3">
        <f>beer_2!$Q$68</f>
        <v/>
      </c>
      <c r="AN3">
        <f>beer_2!$Q$72</f>
        <v/>
      </c>
      <c r="AO3">
        <f>beer_2!$Q$76</f>
        <v/>
      </c>
      <c r="AP3">
        <f>beer_2!$AG$68</f>
        <v/>
      </c>
      <c r="AQ3">
        <f>beer_2!$AG$72</f>
        <v/>
      </c>
      <c r="AR3">
        <f>beer_2!$AG$76</f>
        <v/>
      </c>
      <c r="AS3">
        <f>beer_2!$Q$82</f>
        <v/>
      </c>
      <c r="AT3">
        <f>beer_2!$Q$86</f>
        <v/>
      </c>
      <c r="AU3">
        <f>beer_2!$Q$90</f>
        <v/>
      </c>
      <c r="AV3">
        <f>beer_2!$AG$82</f>
        <v/>
      </c>
      <c r="AW3">
        <f>beer_2!$AG$86</f>
        <v/>
      </c>
      <c r="AX3">
        <f>beer_2!$AG$90</f>
        <v/>
      </c>
      <c r="AY3">
        <f>beer_2!$Q$94</f>
        <v/>
      </c>
      <c r="AZ3">
        <f>beer_2!$S$93</f>
        <v/>
      </c>
    </row>
    <row r="4">
      <c r="A4" t="n">
        <v>3</v>
      </c>
      <c r="B4">
        <f>beer_3!$Q$7</f>
        <v/>
      </c>
      <c r="C4">
        <f>beer_3!$Q$10</f>
        <v/>
      </c>
      <c r="D4">
        <f>beer_3!$Q$12</f>
        <v/>
      </c>
      <c r="E4">
        <f>beer_3!$Q$14</f>
        <v/>
      </c>
      <c r="F4">
        <f>beer_3!$Q$16</f>
        <v/>
      </c>
      <c r="G4">
        <f>beer_3!$Q$20</f>
        <v/>
      </c>
      <c r="H4">
        <f>beer_3!$Q$23</f>
        <v/>
      </c>
      <c r="I4">
        <f>beer_3!$Q$25</f>
        <v/>
      </c>
      <c r="J4">
        <f>beer_3!$Q$27</f>
        <v/>
      </c>
      <c r="K4">
        <f>beer_3!$Q$29</f>
        <v/>
      </c>
      <c r="L4">
        <f>beer_3!$Q$33</f>
        <v/>
      </c>
      <c r="M4">
        <f>beer_3!$Q$36</f>
        <v/>
      </c>
      <c r="N4">
        <f>beer_3!$Q$38</f>
        <v/>
      </c>
      <c r="O4">
        <f>beer_3!$Q$40</f>
        <v/>
      </c>
      <c r="P4">
        <f>beer_3!$Q$42</f>
        <v/>
      </c>
      <c r="Q4">
        <f>beer_3!$AG$7</f>
        <v/>
      </c>
      <c r="R4">
        <f>beer_3!$AG$10</f>
        <v/>
      </c>
      <c r="S4">
        <f>beer_3!$AG$12</f>
        <v/>
      </c>
      <c r="T4">
        <f>beer_3!$AG$14</f>
        <v/>
      </c>
      <c r="U4">
        <f>beer_3!$AG$16</f>
        <v/>
      </c>
      <c r="V4">
        <f>beer_3!$AG$20</f>
        <v/>
      </c>
      <c r="W4">
        <f>beer_3!$AG$23</f>
        <v/>
      </c>
      <c r="X4">
        <f>beer_3!$AG$25</f>
        <v/>
      </c>
      <c r="Y4">
        <f>beer_3!$AG$27</f>
        <v/>
      </c>
      <c r="Z4">
        <f>beer_3!$AG$29</f>
        <v/>
      </c>
      <c r="AA4">
        <f>beer_3!$AG$33</f>
        <v/>
      </c>
      <c r="AB4">
        <f>beer_3!$AG$36</f>
        <v/>
      </c>
      <c r="AC4">
        <f>beer_3!$AG$38</f>
        <v/>
      </c>
      <c r="AD4">
        <f>beer_3!$AG$40</f>
        <v/>
      </c>
      <c r="AE4">
        <f>beer_3!$AG$42</f>
        <v/>
      </c>
      <c r="AF4">
        <f>beer_3!$Q$50</f>
        <v/>
      </c>
      <c r="AG4">
        <f>beer_3!$Q$54</f>
        <v/>
      </c>
      <c r="AH4">
        <f>beer_3!$Q$58</f>
        <v/>
      </c>
      <c r="AI4">
        <f>beer_3!$Q$62</f>
        <v/>
      </c>
      <c r="AJ4">
        <f>beer_3!$AG$50</f>
        <v/>
      </c>
      <c r="AK4">
        <f>beer_3!$AG$54</f>
        <v/>
      </c>
      <c r="AL4">
        <f>beer_3!$AG$58</f>
        <v/>
      </c>
      <c r="AM4">
        <f>beer_3!$Q$68</f>
        <v/>
      </c>
      <c r="AN4">
        <f>beer_3!$Q$72</f>
        <v/>
      </c>
      <c r="AO4">
        <f>beer_3!$Q$76</f>
        <v/>
      </c>
      <c r="AP4">
        <f>beer_3!$AG$68</f>
        <v/>
      </c>
      <c r="AQ4">
        <f>beer_3!$AG$72</f>
        <v/>
      </c>
      <c r="AR4">
        <f>beer_3!$AG$76</f>
        <v/>
      </c>
      <c r="AS4">
        <f>beer_3!$Q$82</f>
        <v/>
      </c>
      <c r="AT4">
        <f>beer_3!$Q$86</f>
        <v/>
      </c>
      <c r="AU4">
        <f>beer_3!$Q$90</f>
        <v/>
      </c>
      <c r="AV4">
        <f>beer_3!$AG$82</f>
        <v/>
      </c>
      <c r="AW4">
        <f>beer_3!$AG$86</f>
        <v/>
      </c>
      <c r="AX4">
        <f>beer_3!$AG$90</f>
        <v/>
      </c>
      <c r="AY4">
        <f>beer_3!$Q$94</f>
        <v/>
      </c>
      <c r="AZ4">
        <f>beer_3!$S$93</f>
        <v/>
      </c>
    </row>
    <row r="5">
      <c r="A5" t="n">
        <v>4</v>
      </c>
      <c r="B5">
        <f>beer_4!$Q$7</f>
        <v/>
      </c>
      <c r="C5">
        <f>beer_4!$Q$10</f>
        <v/>
      </c>
      <c r="D5">
        <f>beer_4!$Q$12</f>
        <v/>
      </c>
      <c r="E5">
        <f>beer_4!$Q$14</f>
        <v/>
      </c>
      <c r="F5">
        <f>beer_4!$Q$16</f>
        <v/>
      </c>
      <c r="G5">
        <f>beer_4!$Q$20</f>
        <v/>
      </c>
      <c r="H5">
        <f>beer_4!$Q$23</f>
        <v/>
      </c>
      <c r="I5">
        <f>beer_4!$Q$25</f>
        <v/>
      </c>
      <c r="J5">
        <f>beer_4!$Q$27</f>
        <v/>
      </c>
      <c r="K5">
        <f>beer_4!$Q$29</f>
        <v/>
      </c>
      <c r="L5">
        <f>beer_4!$Q$33</f>
        <v/>
      </c>
      <c r="M5">
        <f>beer_4!$Q$36</f>
        <v/>
      </c>
      <c r="N5">
        <f>beer_4!$Q$38</f>
        <v/>
      </c>
      <c r="O5">
        <f>beer_4!$Q$40</f>
        <v/>
      </c>
      <c r="P5">
        <f>beer_4!$Q$42</f>
        <v/>
      </c>
      <c r="Q5">
        <f>beer_4!$AG$7</f>
        <v/>
      </c>
      <c r="R5">
        <f>beer_4!$AG$10</f>
        <v/>
      </c>
      <c r="S5">
        <f>beer_4!$AG$12</f>
        <v/>
      </c>
      <c r="T5">
        <f>beer_4!$AG$14</f>
        <v/>
      </c>
      <c r="U5">
        <f>beer_4!$AG$16</f>
        <v/>
      </c>
      <c r="V5">
        <f>beer_4!$AG$20</f>
        <v/>
      </c>
      <c r="W5">
        <f>beer_4!$AG$23</f>
        <v/>
      </c>
      <c r="X5">
        <f>beer_4!$AG$25</f>
        <v/>
      </c>
      <c r="Y5">
        <f>beer_4!$AG$27</f>
        <v/>
      </c>
      <c r="Z5">
        <f>beer_4!$AG$29</f>
        <v/>
      </c>
      <c r="AA5">
        <f>beer_4!$AG$33</f>
        <v/>
      </c>
      <c r="AB5">
        <f>beer_4!$AG$36</f>
        <v/>
      </c>
      <c r="AC5">
        <f>beer_4!$AG$38</f>
        <v/>
      </c>
      <c r="AD5">
        <f>beer_4!$AG$40</f>
        <v/>
      </c>
      <c r="AE5">
        <f>beer_4!$AG$42</f>
        <v/>
      </c>
      <c r="AF5">
        <f>beer_4!$Q$50</f>
        <v/>
      </c>
      <c r="AG5">
        <f>beer_4!$Q$54</f>
        <v/>
      </c>
      <c r="AH5">
        <f>beer_4!$Q$58</f>
        <v/>
      </c>
      <c r="AI5">
        <f>beer_4!$Q$62</f>
        <v/>
      </c>
      <c r="AJ5">
        <f>beer_4!$AG$50</f>
        <v/>
      </c>
      <c r="AK5">
        <f>beer_4!$AG$54</f>
        <v/>
      </c>
      <c r="AL5">
        <f>beer_4!$AG$58</f>
        <v/>
      </c>
      <c r="AM5">
        <f>beer_4!$Q$68</f>
        <v/>
      </c>
      <c r="AN5">
        <f>beer_4!$Q$72</f>
        <v/>
      </c>
      <c r="AO5">
        <f>beer_4!$Q$76</f>
        <v/>
      </c>
      <c r="AP5">
        <f>beer_4!$AG$68</f>
        <v/>
      </c>
      <c r="AQ5">
        <f>beer_4!$AG$72</f>
        <v/>
      </c>
      <c r="AR5">
        <f>beer_4!$AG$76</f>
        <v/>
      </c>
      <c r="AS5">
        <f>beer_4!$Q$82</f>
        <v/>
      </c>
      <c r="AT5">
        <f>beer_4!$Q$86</f>
        <v/>
      </c>
      <c r="AU5">
        <f>beer_4!$Q$90</f>
        <v/>
      </c>
      <c r="AV5">
        <f>beer_4!$AG$82</f>
        <v/>
      </c>
      <c r="AW5">
        <f>beer_4!$AG$86</f>
        <v/>
      </c>
      <c r="AX5">
        <f>beer_4!$AG$90</f>
        <v/>
      </c>
      <c r="AY5">
        <f>beer_4!$Q$94</f>
        <v/>
      </c>
      <c r="AZ5">
        <f>beer_4!$S$93</f>
        <v/>
      </c>
    </row>
    <row r="6">
      <c r="A6" t="n">
        <v>5</v>
      </c>
      <c r="B6">
        <f>beer_5!$Q$7</f>
        <v/>
      </c>
      <c r="C6">
        <f>beer_5!$Q$10</f>
        <v/>
      </c>
      <c r="D6">
        <f>beer_5!$Q$12</f>
        <v/>
      </c>
      <c r="E6">
        <f>beer_5!$Q$14</f>
        <v/>
      </c>
      <c r="F6">
        <f>beer_5!$Q$16</f>
        <v/>
      </c>
      <c r="G6">
        <f>beer_5!$Q$20</f>
        <v/>
      </c>
      <c r="H6">
        <f>beer_5!$Q$23</f>
        <v/>
      </c>
      <c r="I6">
        <f>beer_5!$Q$25</f>
        <v/>
      </c>
      <c r="J6">
        <f>beer_5!$Q$27</f>
        <v/>
      </c>
      <c r="K6">
        <f>beer_5!$Q$29</f>
        <v/>
      </c>
      <c r="L6">
        <f>beer_5!$Q$33</f>
        <v/>
      </c>
      <c r="M6">
        <f>beer_5!$Q$36</f>
        <v/>
      </c>
      <c r="N6">
        <f>beer_5!$Q$38</f>
        <v/>
      </c>
      <c r="O6">
        <f>beer_5!$Q$40</f>
        <v/>
      </c>
      <c r="P6">
        <f>beer_5!$Q$42</f>
        <v/>
      </c>
      <c r="Q6">
        <f>beer_5!$AG$7</f>
        <v/>
      </c>
      <c r="R6">
        <f>beer_5!$AG$10</f>
        <v/>
      </c>
      <c r="S6">
        <f>beer_5!$AG$12</f>
        <v/>
      </c>
      <c r="T6">
        <f>beer_5!$AG$14</f>
        <v/>
      </c>
      <c r="U6">
        <f>beer_5!$AG$16</f>
        <v/>
      </c>
      <c r="V6">
        <f>beer_5!$AG$20</f>
        <v/>
      </c>
      <c r="W6">
        <f>beer_5!$AG$23</f>
        <v/>
      </c>
      <c r="X6">
        <f>beer_5!$AG$25</f>
        <v/>
      </c>
      <c r="Y6">
        <f>beer_5!$AG$27</f>
        <v/>
      </c>
      <c r="Z6">
        <f>beer_5!$AG$29</f>
        <v/>
      </c>
      <c r="AA6">
        <f>beer_5!$AG$33</f>
        <v/>
      </c>
      <c r="AB6">
        <f>beer_5!$AG$36</f>
        <v/>
      </c>
      <c r="AC6">
        <f>beer_5!$AG$38</f>
        <v/>
      </c>
      <c r="AD6">
        <f>beer_5!$AG$40</f>
        <v/>
      </c>
      <c r="AE6">
        <f>beer_5!$AG$42</f>
        <v/>
      </c>
      <c r="AF6">
        <f>beer_5!$Q$50</f>
        <v/>
      </c>
      <c r="AG6">
        <f>beer_5!$Q$54</f>
        <v/>
      </c>
      <c r="AH6">
        <f>beer_5!$Q$58</f>
        <v/>
      </c>
      <c r="AI6">
        <f>beer_5!$Q$62</f>
        <v/>
      </c>
      <c r="AJ6">
        <f>beer_5!$AG$50</f>
        <v/>
      </c>
      <c r="AK6">
        <f>beer_5!$AG$54</f>
        <v/>
      </c>
      <c r="AL6">
        <f>beer_5!$AG$58</f>
        <v/>
      </c>
      <c r="AM6">
        <f>beer_5!$Q$68</f>
        <v/>
      </c>
      <c r="AN6">
        <f>beer_5!$Q$72</f>
        <v/>
      </c>
      <c r="AO6">
        <f>beer_5!$Q$76</f>
        <v/>
      </c>
      <c r="AP6">
        <f>beer_5!$AG$68</f>
        <v/>
      </c>
      <c r="AQ6">
        <f>beer_5!$AG$72</f>
        <v/>
      </c>
      <c r="AR6">
        <f>beer_5!$AG$76</f>
        <v/>
      </c>
      <c r="AS6">
        <f>beer_5!$Q$82</f>
        <v/>
      </c>
      <c r="AT6">
        <f>beer_5!$Q$86</f>
        <v/>
      </c>
      <c r="AU6">
        <f>beer_5!$Q$90</f>
        <v/>
      </c>
      <c r="AV6">
        <f>beer_5!$AG$82</f>
        <v/>
      </c>
      <c r="AW6">
        <f>beer_5!$AG$86</f>
        <v/>
      </c>
      <c r="AX6">
        <f>beer_5!$AG$90</f>
        <v/>
      </c>
      <c r="AY6">
        <f>beer_5!$Q$94</f>
        <v/>
      </c>
      <c r="AZ6">
        <f>beer_5!$S$93</f>
        <v/>
      </c>
    </row>
    <row r="7">
      <c r="A7" t="n">
        <v>6</v>
      </c>
      <c r="B7">
        <f>beer_6!$Q$7</f>
        <v/>
      </c>
      <c r="C7">
        <f>beer_6!$Q$10</f>
        <v/>
      </c>
      <c r="D7">
        <f>beer_6!$Q$12</f>
        <v/>
      </c>
      <c r="E7">
        <f>beer_6!$Q$14</f>
        <v/>
      </c>
      <c r="F7">
        <f>beer_6!$Q$16</f>
        <v/>
      </c>
      <c r="G7">
        <f>beer_6!$Q$20</f>
        <v/>
      </c>
      <c r="H7">
        <f>beer_6!$Q$23</f>
        <v/>
      </c>
      <c r="I7">
        <f>beer_6!$Q$25</f>
        <v/>
      </c>
      <c r="J7">
        <f>beer_6!$Q$27</f>
        <v/>
      </c>
      <c r="K7">
        <f>beer_6!$Q$29</f>
        <v/>
      </c>
      <c r="L7">
        <f>beer_6!$Q$33</f>
        <v/>
      </c>
      <c r="M7">
        <f>beer_6!$Q$36</f>
        <v/>
      </c>
      <c r="N7">
        <f>beer_6!$Q$38</f>
        <v/>
      </c>
      <c r="O7">
        <f>beer_6!$Q$40</f>
        <v/>
      </c>
      <c r="P7">
        <f>beer_6!$Q$42</f>
        <v/>
      </c>
      <c r="Q7">
        <f>beer_6!$AG$7</f>
        <v/>
      </c>
      <c r="R7">
        <f>beer_6!$AG$10</f>
        <v/>
      </c>
      <c r="S7">
        <f>beer_6!$AG$12</f>
        <v/>
      </c>
      <c r="T7">
        <f>beer_6!$AG$14</f>
        <v/>
      </c>
      <c r="U7">
        <f>beer_6!$AG$16</f>
        <v/>
      </c>
      <c r="V7">
        <f>beer_6!$AG$20</f>
        <v/>
      </c>
      <c r="W7">
        <f>beer_6!$AG$23</f>
        <v/>
      </c>
      <c r="X7">
        <f>beer_6!$AG$25</f>
        <v/>
      </c>
      <c r="Y7">
        <f>beer_6!$AG$27</f>
        <v/>
      </c>
      <c r="Z7">
        <f>beer_6!$AG$29</f>
        <v/>
      </c>
      <c r="AA7">
        <f>beer_6!$AG$33</f>
        <v/>
      </c>
      <c r="AB7">
        <f>beer_6!$AG$36</f>
        <v/>
      </c>
      <c r="AC7">
        <f>beer_6!$AG$38</f>
        <v/>
      </c>
      <c r="AD7">
        <f>beer_6!$AG$40</f>
        <v/>
      </c>
      <c r="AE7">
        <f>beer_6!$AG$42</f>
        <v/>
      </c>
      <c r="AF7">
        <f>beer_6!$Q$50</f>
        <v/>
      </c>
      <c r="AG7">
        <f>beer_6!$Q$54</f>
        <v/>
      </c>
      <c r="AH7">
        <f>beer_6!$Q$58</f>
        <v/>
      </c>
      <c r="AI7">
        <f>beer_6!$Q$62</f>
        <v/>
      </c>
      <c r="AJ7">
        <f>beer_6!$AG$50</f>
        <v/>
      </c>
      <c r="AK7">
        <f>beer_6!$AG$54</f>
        <v/>
      </c>
      <c r="AL7">
        <f>beer_6!$AG$58</f>
        <v/>
      </c>
      <c r="AM7">
        <f>beer_6!$Q$68</f>
        <v/>
      </c>
      <c r="AN7">
        <f>beer_6!$Q$72</f>
        <v/>
      </c>
      <c r="AO7">
        <f>beer_6!$Q$76</f>
        <v/>
      </c>
      <c r="AP7">
        <f>beer_6!$AG$68</f>
        <v/>
      </c>
      <c r="AQ7">
        <f>beer_6!$AG$72</f>
        <v/>
      </c>
      <c r="AR7">
        <f>beer_6!$AG$76</f>
        <v/>
      </c>
      <c r="AS7">
        <f>beer_6!$Q$82</f>
        <v/>
      </c>
      <c r="AT7">
        <f>beer_6!$Q$86</f>
        <v/>
      </c>
      <c r="AU7">
        <f>beer_6!$Q$90</f>
        <v/>
      </c>
      <c r="AV7">
        <f>beer_6!$AG$82</f>
        <v/>
      </c>
      <c r="AW7">
        <f>beer_6!$AG$86</f>
        <v/>
      </c>
      <c r="AX7">
        <f>beer_6!$AG$90</f>
        <v/>
      </c>
      <c r="AY7">
        <f>beer_6!$Q$94</f>
        <v/>
      </c>
      <c r="AZ7">
        <f>beer_6!$S$93</f>
        <v/>
      </c>
    </row>
    <row r="8">
      <c r="A8" t="n">
        <v>7</v>
      </c>
      <c r="B8">
        <f>beer_7!$Q$7</f>
        <v/>
      </c>
      <c r="C8">
        <f>beer_7!$Q$10</f>
        <v/>
      </c>
      <c r="D8">
        <f>beer_7!$Q$12</f>
        <v/>
      </c>
      <c r="E8">
        <f>beer_7!$Q$14</f>
        <v/>
      </c>
      <c r="F8">
        <f>beer_7!$Q$16</f>
        <v/>
      </c>
      <c r="G8">
        <f>beer_7!$Q$20</f>
        <v/>
      </c>
      <c r="H8">
        <f>beer_7!$Q$23</f>
        <v/>
      </c>
      <c r="I8">
        <f>beer_7!$Q$25</f>
        <v/>
      </c>
      <c r="J8">
        <f>beer_7!$Q$27</f>
        <v/>
      </c>
      <c r="K8">
        <f>beer_7!$Q$29</f>
        <v/>
      </c>
      <c r="L8">
        <f>beer_7!$Q$33</f>
        <v/>
      </c>
      <c r="M8">
        <f>beer_7!$Q$36</f>
        <v/>
      </c>
      <c r="N8">
        <f>beer_7!$Q$38</f>
        <v/>
      </c>
      <c r="O8">
        <f>beer_7!$Q$40</f>
        <v/>
      </c>
      <c r="P8">
        <f>beer_7!$Q$42</f>
        <v/>
      </c>
      <c r="Q8">
        <f>beer_7!$AG$7</f>
        <v/>
      </c>
      <c r="R8">
        <f>beer_7!$AG$10</f>
        <v/>
      </c>
      <c r="S8">
        <f>beer_7!$AG$12</f>
        <v/>
      </c>
      <c r="T8">
        <f>beer_7!$AG$14</f>
        <v/>
      </c>
      <c r="U8">
        <f>beer_7!$AG$16</f>
        <v/>
      </c>
      <c r="V8">
        <f>beer_7!$AG$20</f>
        <v/>
      </c>
      <c r="W8">
        <f>beer_7!$AG$23</f>
        <v/>
      </c>
      <c r="X8">
        <f>beer_7!$AG$25</f>
        <v/>
      </c>
      <c r="Y8">
        <f>beer_7!$AG$27</f>
        <v/>
      </c>
      <c r="Z8">
        <f>beer_7!$AG$29</f>
        <v/>
      </c>
      <c r="AA8">
        <f>beer_7!$AG$33</f>
        <v/>
      </c>
      <c r="AB8">
        <f>beer_7!$AG$36</f>
        <v/>
      </c>
      <c r="AC8">
        <f>beer_7!$AG$38</f>
        <v/>
      </c>
      <c r="AD8">
        <f>beer_7!$AG$40</f>
        <v/>
      </c>
      <c r="AE8">
        <f>beer_7!$AG$42</f>
        <v/>
      </c>
      <c r="AF8">
        <f>beer_7!$Q$50</f>
        <v/>
      </c>
      <c r="AG8">
        <f>beer_7!$Q$54</f>
        <v/>
      </c>
      <c r="AH8">
        <f>beer_7!$Q$58</f>
        <v/>
      </c>
      <c r="AI8">
        <f>beer_7!$Q$62</f>
        <v/>
      </c>
      <c r="AJ8">
        <f>beer_7!$AG$50</f>
        <v/>
      </c>
      <c r="AK8">
        <f>beer_7!$AG$54</f>
        <v/>
      </c>
      <c r="AL8">
        <f>beer_7!$AG$58</f>
        <v/>
      </c>
      <c r="AM8">
        <f>beer_7!$Q$68</f>
        <v/>
      </c>
      <c r="AN8">
        <f>beer_7!$Q$72</f>
        <v/>
      </c>
      <c r="AO8">
        <f>beer_7!$Q$76</f>
        <v/>
      </c>
      <c r="AP8">
        <f>beer_7!$AG$68</f>
        <v/>
      </c>
      <c r="AQ8">
        <f>beer_7!$AG$72</f>
        <v/>
      </c>
      <c r="AR8">
        <f>beer_7!$AG$76</f>
        <v/>
      </c>
      <c r="AS8">
        <f>beer_7!$Q$82</f>
        <v/>
      </c>
      <c r="AT8">
        <f>beer_7!$Q$86</f>
        <v/>
      </c>
      <c r="AU8">
        <f>beer_7!$Q$90</f>
        <v/>
      </c>
      <c r="AV8">
        <f>beer_7!$AG$82</f>
        <v/>
      </c>
      <c r="AW8">
        <f>beer_7!$AG$86</f>
        <v/>
      </c>
      <c r="AX8">
        <f>beer_7!$AG$90</f>
        <v/>
      </c>
      <c r="AY8">
        <f>beer_7!$Q$94</f>
        <v/>
      </c>
      <c r="AZ8">
        <f>beer_7!$S$93</f>
        <v/>
      </c>
    </row>
    <row r="9">
      <c r="A9" t="n">
        <v>8</v>
      </c>
      <c r="B9">
        <f>beer_8!$Q$7</f>
        <v/>
      </c>
      <c r="C9">
        <f>beer_8!$Q$10</f>
        <v/>
      </c>
      <c r="D9">
        <f>beer_8!$Q$12</f>
        <v/>
      </c>
      <c r="E9">
        <f>beer_8!$Q$14</f>
        <v/>
      </c>
      <c r="F9">
        <f>beer_8!$Q$16</f>
        <v/>
      </c>
      <c r="G9">
        <f>beer_8!$Q$20</f>
        <v/>
      </c>
      <c r="H9">
        <f>beer_8!$Q$23</f>
        <v/>
      </c>
      <c r="I9">
        <f>beer_8!$Q$25</f>
        <v/>
      </c>
      <c r="J9">
        <f>beer_8!$Q$27</f>
        <v/>
      </c>
      <c r="K9">
        <f>beer_8!$Q$29</f>
        <v/>
      </c>
      <c r="L9">
        <f>beer_8!$Q$33</f>
        <v/>
      </c>
      <c r="M9">
        <f>beer_8!$Q$36</f>
        <v/>
      </c>
      <c r="N9">
        <f>beer_8!$Q$38</f>
        <v/>
      </c>
      <c r="O9">
        <f>beer_8!$Q$40</f>
        <v/>
      </c>
      <c r="P9">
        <f>beer_8!$Q$42</f>
        <v/>
      </c>
      <c r="Q9">
        <f>beer_8!$AG$7</f>
        <v/>
      </c>
      <c r="R9">
        <f>beer_8!$AG$10</f>
        <v/>
      </c>
      <c r="S9">
        <f>beer_8!$AG$12</f>
        <v/>
      </c>
      <c r="T9">
        <f>beer_8!$AG$14</f>
        <v/>
      </c>
      <c r="U9">
        <f>beer_8!$AG$16</f>
        <v/>
      </c>
      <c r="V9">
        <f>beer_8!$AG$20</f>
        <v/>
      </c>
      <c r="W9">
        <f>beer_8!$AG$23</f>
        <v/>
      </c>
      <c r="X9">
        <f>beer_8!$AG$25</f>
        <v/>
      </c>
      <c r="Y9">
        <f>beer_8!$AG$27</f>
        <v/>
      </c>
      <c r="Z9">
        <f>beer_8!$AG$29</f>
        <v/>
      </c>
      <c r="AA9">
        <f>beer_8!$AG$33</f>
        <v/>
      </c>
      <c r="AB9">
        <f>beer_8!$AG$36</f>
        <v/>
      </c>
      <c r="AC9">
        <f>beer_8!$AG$38</f>
        <v/>
      </c>
      <c r="AD9">
        <f>beer_8!$AG$40</f>
        <v/>
      </c>
      <c r="AE9">
        <f>beer_8!$AG$42</f>
        <v/>
      </c>
      <c r="AF9">
        <f>beer_8!$Q$50</f>
        <v/>
      </c>
      <c r="AG9">
        <f>beer_8!$Q$54</f>
        <v/>
      </c>
      <c r="AH9">
        <f>beer_8!$Q$58</f>
        <v/>
      </c>
      <c r="AI9">
        <f>beer_8!$Q$62</f>
        <v/>
      </c>
      <c r="AJ9">
        <f>beer_8!$AG$50</f>
        <v/>
      </c>
      <c r="AK9">
        <f>beer_8!$AG$54</f>
        <v/>
      </c>
      <c r="AL9">
        <f>beer_8!$AG$58</f>
        <v/>
      </c>
      <c r="AM9">
        <f>beer_8!$Q$68</f>
        <v/>
      </c>
      <c r="AN9">
        <f>beer_8!$Q$72</f>
        <v/>
      </c>
      <c r="AO9">
        <f>beer_8!$Q$76</f>
        <v/>
      </c>
      <c r="AP9">
        <f>beer_8!$AG$68</f>
        <v/>
      </c>
      <c r="AQ9">
        <f>beer_8!$AG$72</f>
        <v/>
      </c>
      <c r="AR9">
        <f>beer_8!$AG$76</f>
        <v/>
      </c>
      <c r="AS9">
        <f>beer_8!$Q$82</f>
        <v/>
      </c>
      <c r="AT9">
        <f>beer_8!$Q$86</f>
        <v/>
      </c>
      <c r="AU9">
        <f>beer_8!$Q$90</f>
        <v/>
      </c>
      <c r="AV9">
        <f>beer_8!$AG$82</f>
        <v/>
      </c>
      <c r="AW9">
        <f>beer_8!$AG$86</f>
        <v/>
      </c>
      <c r="AX9">
        <f>beer_8!$AG$90</f>
        <v/>
      </c>
      <c r="AY9">
        <f>beer_8!$Q$94</f>
        <v/>
      </c>
      <c r="AZ9">
        <f>beer_8!$S$93</f>
        <v/>
      </c>
    </row>
    <row r="10">
      <c r="A10" t="n">
        <v>9</v>
      </c>
      <c r="B10">
        <f>beer_9!$Q$7</f>
        <v/>
      </c>
      <c r="C10">
        <f>beer_9!$Q$10</f>
        <v/>
      </c>
      <c r="D10">
        <f>beer_9!$Q$12</f>
        <v/>
      </c>
      <c r="E10">
        <f>beer_9!$Q$14</f>
        <v/>
      </c>
      <c r="F10">
        <f>beer_9!$Q$16</f>
        <v/>
      </c>
      <c r="G10">
        <f>beer_9!$Q$20</f>
        <v/>
      </c>
      <c r="H10">
        <f>beer_9!$Q$23</f>
        <v/>
      </c>
      <c r="I10">
        <f>beer_9!$Q$25</f>
        <v/>
      </c>
      <c r="J10">
        <f>beer_9!$Q$27</f>
        <v/>
      </c>
      <c r="K10">
        <f>beer_9!$Q$29</f>
        <v/>
      </c>
      <c r="L10">
        <f>beer_9!$Q$33</f>
        <v/>
      </c>
      <c r="M10">
        <f>beer_9!$Q$36</f>
        <v/>
      </c>
      <c r="N10">
        <f>beer_9!$Q$38</f>
        <v/>
      </c>
      <c r="O10">
        <f>beer_9!$Q$40</f>
        <v/>
      </c>
      <c r="P10">
        <f>beer_9!$Q$42</f>
        <v/>
      </c>
      <c r="Q10">
        <f>beer_9!$AG$7</f>
        <v/>
      </c>
      <c r="R10">
        <f>beer_9!$AG$10</f>
        <v/>
      </c>
      <c r="S10">
        <f>beer_9!$AG$12</f>
        <v/>
      </c>
      <c r="T10">
        <f>beer_9!$AG$14</f>
        <v/>
      </c>
      <c r="U10">
        <f>beer_9!$AG$16</f>
        <v/>
      </c>
      <c r="V10">
        <f>beer_9!$AG$20</f>
        <v/>
      </c>
      <c r="W10">
        <f>beer_9!$AG$23</f>
        <v/>
      </c>
      <c r="X10">
        <f>beer_9!$AG$25</f>
        <v/>
      </c>
      <c r="Y10">
        <f>beer_9!$AG$27</f>
        <v/>
      </c>
      <c r="Z10">
        <f>beer_9!$AG$29</f>
        <v/>
      </c>
      <c r="AA10">
        <f>beer_9!$AG$33</f>
        <v/>
      </c>
      <c r="AB10">
        <f>beer_9!$AG$36</f>
        <v/>
      </c>
      <c r="AC10">
        <f>beer_9!$AG$38</f>
        <v/>
      </c>
      <c r="AD10">
        <f>beer_9!$AG$40</f>
        <v/>
      </c>
      <c r="AE10">
        <f>beer_9!$AG$42</f>
        <v/>
      </c>
      <c r="AF10">
        <f>beer_9!$Q$50</f>
        <v/>
      </c>
      <c r="AG10">
        <f>beer_9!$Q$54</f>
        <v/>
      </c>
      <c r="AH10">
        <f>beer_9!$Q$58</f>
        <v/>
      </c>
      <c r="AI10">
        <f>beer_9!$Q$62</f>
        <v/>
      </c>
      <c r="AJ10">
        <f>beer_9!$AG$50</f>
        <v/>
      </c>
      <c r="AK10">
        <f>beer_9!$AG$54</f>
        <v/>
      </c>
      <c r="AL10">
        <f>beer_9!$AG$58</f>
        <v/>
      </c>
      <c r="AM10">
        <f>beer_9!$Q$68</f>
        <v/>
      </c>
      <c r="AN10">
        <f>beer_9!$Q$72</f>
        <v/>
      </c>
      <c r="AO10">
        <f>beer_9!$Q$76</f>
        <v/>
      </c>
      <c r="AP10">
        <f>beer_9!$AG$68</f>
        <v/>
      </c>
      <c r="AQ10">
        <f>beer_9!$AG$72</f>
        <v/>
      </c>
      <c r="AR10">
        <f>beer_9!$AG$76</f>
        <v/>
      </c>
      <c r="AS10">
        <f>beer_9!$Q$82</f>
        <v/>
      </c>
      <c r="AT10">
        <f>beer_9!$Q$86</f>
        <v/>
      </c>
      <c r="AU10">
        <f>beer_9!$Q$90</f>
        <v/>
      </c>
      <c r="AV10">
        <f>beer_9!$AG$82</f>
        <v/>
      </c>
      <c r="AW10">
        <f>beer_9!$AG$86</f>
        <v/>
      </c>
      <c r="AX10">
        <f>beer_9!$AG$90</f>
        <v/>
      </c>
      <c r="AY10">
        <f>beer_9!$Q$94</f>
        <v/>
      </c>
      <c r="AZ10">
        <f>beer_9!$S$93</f>
        <v/>
      </c>
    </row>
    <row r="11">
      <c r="A11" t="n">
        <v>10</v>
      </c>
      <c r="B11">
        <f>beer_10!$Q$7</f>
        <v/>
      </c>
      <c r="C11">
        <f>beer_10!$Q$10</f>
        <v/>
      </c>
      <c r="D11">
        <f>beer_10!$Q$12</f>
        <v/>
      </c>
      <c r="E11">
        <f>beer_10!$Q$14</f>
        <v/>
      </c>
      <c r="F11">
        <f>beer_10!$Q$16</f>
        <v/>
      </c>
      <c r="G11">
        <f>beer_10!$Q$20</f>
        <v/>
      </c>
      <c r="H11">
        <f>beer_10!$Q$23</f>
        <v/>
      </c>
      <c r="I11">
        <f>beer_10!$Q$25</f>
        <v/>
      </c>
      <c r="J11">
        <f>beer_10!$Q$27</f>
        <v/>
      </c>
      <c r="K11">
        <f>beer_10!$Q$29</f>
        <v/>
      </c>
      <c r="L11">
        <f>beer_10!$Q$33</f>
        <v/>
      </c>
      <c r="M11">
        <f>beer_10!$Q$36</f>
        <v/>
      </c>
      <c r="N11">
        <f>beer_10!$Q$38</f>
        <v/>
      </c>
      <c r="O11">
        <f>beer_10!$Q$40</f>
        <v/>
      </c>
      <c r="P11">
        <f>beer_10!$Q$42</f>
        <v/>
      </c>
      <c r="Q11">
        <f>beer_10!$AG$7</f>
        <v/>
      </c>
      <c r="R11">
        <f>beer_10!$AG$10</f>
        <v/>
      </c>
      <c r="S11">
        <f>beer_10!$AG$12</f>
        <v/>
      </c>
      <c r="T11">
        <f>beer_10!$AG$14</f>
        <v/>
      </c>
      <c r="U11">
        <f>beer_10!$AG$16</f>
        <v/>
      </c>
      <c r="V11">
        <f>beer_10!$AG$20</f>
        <v/>
      </c>
      <c r="W11">
        <f>beer_10!$AG$23</f>
        <v/>
      </c>
      <c r="X11">
        <f>beer_10!$AG$25</f>
        <v/>
      </c>
      <c r="Y11">
        <f>beer_10!$AG$27</f>
        <v/>
      </c>
      <c r="Z11">
        <f>beer_10!$AG$29</f>
        <v/>
      </c>
      <c r="AA11">
        <f>beer_10!$AG$33</f>
        <v/>
      </c>
      <c r="AB11">
        <f>beer_10!$AG$36</f>
        <v/>
      </c>
      <c r="AC11">
        <f>beer_10!$AG$38</f>
        <v/>
      </c>
      <c r="AD11">
        <f>beer_10!$AG$40</f>
        <v/>
      </c>
      <c r="AE11">
        <f>beer_10!$AG$42</f>
        <v/>
      </c>
      <c r="AF11">
        <f>beer_10!$Q$50</f>
        <v/>
      </c>
      <c r="AG11">
        <f>beer_10!$Q$54</f>
        <v/>
      </c>
      <c r="AH11">
        <f>beer_10!$Q$58</f>
        <v/>
      </c>
      <c r="AI11">
        <f>beer_10!$Q$62</f>
        <v/>
      </c>
      <c r="AJ11">
        <f>beer_10!$AG$50</f>
        <v/>
      </c>
      <c r="AK11">
        <f>beer_10!$AG$54</f>
        <v/>
      </c>
      <c r="AL11">
        <f>beer_10!$AG$58</f>
        <v/>
      </c>
      <c r="AM11">
        <f>beer_10!$Q$68</f>
        <v/>
      </c>
      <c r="AN11">
        <f>beer_10!$Q$72</f>
        <v/>
      </c>
      <c r="AO11">
        <f>beer_10!$Q$76</f>
        <v/>
      </c>
      <c r="AP11">
        <f>beer_10!$AG$68</f>
        <v/>
      </c>
      <c r="AQ11">
        <f>beer_10!$AG$72</f>
        <v/>
      </c>
      <c r="AR11">
        <f>beer_10!$AG$76</f>
        <v/>
      </c>
      <c r="AS11">
        <f>beer_10!$Q$82</f>
        <v/>
      </c>
      <c r="AT11">
        <f>beer_10!$Q$86</f>
        <v/>
      </c>
      <c r="AU11">
        <f>beer_10!$Q$90</f>
        <v/>
      </c>
      <c r="AV11">
        <f>beer_10!$AG$82</f>
        <v/>
      </c>
      <c r="AW11">
        <f>beer_10!$AG$86</f>
        <v/>
      </c>
      <c r="AX11">
        <f>beer_10!$AG$90</f>
        <v/>
      </c>
      <c r="AY11">
        <f>beer_10!$Q$94</f>
        <v/>
      </c>
      <c r="AZ11">
        <f>beer_10!$S$93</f>
        <v/>
      </c>
    </row>
    <row r="12">
      <c r="A12" t="n">
        <v>11</v>
      </c>
      <c r="B12">
        <f>beer_11!$Q$7</f>
        <v/>
      </c>
      <c r="C12">
        <f>beer_11!$Q$10</f>
        <v/>
      </c>
      <c r="D12">
        <f>beer_11!$Q$12</f>
        <v/>
      </c>
      <c r="E12">
        <f>beer_11!$Q$14</f>
        <v/>
      </c>
      <c r="F12">
        <f>beer_11!$Q$16</f>
        <v/>
      </c>
      <c r="G12">
        <f>beer_11!$Q$20</f>
        <v/>
      </c>
      <c r="H12">
        <f>beer_11!$Q$23</f>
        <v/>
      </c>
      <c r="I12">
        <f>beer_11!$Q$25</f>
        <v/>
      </c>
      <c r="J12">
        <f>beer_11!$Q$27</f>
        <v/>
      </c>
      <c r="K12">
        <f>beer_11!$Q$29</f>
        <v/>
      </c>
      <c r="L12">
        <f>beer_11!$Q$33</f>
        <v/>
      </c>
      <c r="M12">
        <f>beer_11!$Q$36</f>
        <v/>
      </c>
      <c r="N12">
        <f>beer_11!$Q$38</f>
        <v/>
      </c>
      <c r="O12">
        <f>beer_11!$Q$40</f>
        <v/>
      </c>
      <c r="P12">
        <f>beer_11!$Q$42</f>
        <v/>
      </c>
      <c r="Q12">
        <f>beer_11!$AG$7</f>
        <v/>
      </c>
      <c r="R12">
        <f>beer_11!$AG$10</f>
        <v/>
      </c>
      <c r="S12">
        <f>beer_11!$AG$12</f>
        <v/>
      </c>
      <c r="T12">
        <f>beer_11!$AG$14</f>
        <v/>
      </c>
      <c r="U12">
        <f>beer_11!$AG$16</f>
        <v/>
      </c>
      <c r="V12">
        <f>beer_11!$AG$20</f>
        <v/>
      </c>
      <c r="W12">
        <f>beer_11!$AG$23</f>
        <v/>
      </c>
      <c r="X12">
        <f>beer_11!$AG$25</f>
        <v/>
      </c>
      <c r="Y12">
        <f>beer_11!$AG$27</f>
        <v/>
      </c>
      <c r="Z12">
        <f>beer_11!$AG$29</f>
        <v/>
      </c>
      <c r="AA12">
        <f>beer_11!$AG$33</f>
        <v/>
      </c>
      <c r="AB12">
        <f>beer_11!$AG$36</f>
        <v/>
      </c>
      <c r="AC12">
        <f>beer_11!$AG$38</f>
        <v/>
      </c>
      <c r="AD12">
        <f>beer_11!$AG$40</f>
        <v/>
      </c>
      <c r="AE12">
        <f>beer_11!$AG$42</f>
        <v/>
      </c>
      <c r="AF12">
        <f>beer_11!$Q$50</f>
        <v/>
      </c>
      <c r="AG12">
        <f>beer_11!$Q$54</f>
        <v/>
      </c>
      <c r="AH12">
        <f>beer_11!$Q$58</f>
        <v/>
      </c>
      <c r="AI12">
        <f>beer_11!$Q$62</f>
        <v/>
      </c>
      <c r="AJ12">
        <f>beer_11!$AG$50</f>
        <v/>
      </c>
      <c r="AK12">
        <f>beer_11!$AG$54</f>
        <v/>
      </c>
      <c r="AL12">
        <f>beer_11!$AG$58</f>
        <v/>
      </c>
      <c r="AM12">
        <f>beer_11!$Q$68</f>
        <v/>
      </c>
      <c r="AN12">
        <f>beer_11!$Q$72</f>
        <v/>
      </c>
      <c r="AO12">
        <f>beer_11!$Q$76</f>
        <v/>
      </c>
      <c r="AP12">
        <f>beer_11!$AG$68</f>
        <v/>
      </c>
      <c r="AQ12">
        <f>beer_11!$AG$72</f>
        <v/>
      </c>
      <c r="AR12">
        <f>beer_11!$AG$76</f>
        <v/>
      </c>
      <c r="AS12">
        <f>beer_11!$Q$82</f>
        <v/>
      </c>
      <c r="AT12">
        <f>beer_11!$Q$86</f>
        <v/>
      </c>
      <c r="AU12">
        <f>beer_11!$Q$90</f>
        <v/>
      </c>
      <c r="AV12">
        <f>beer_11!$AG$82</f>
        <v/>
      </c>
      <c r="AW12">
        <f>beer_11!$AG$86</f>
        <v/>
      </c>
      <c r="AX12">
        <f>beer_11!$AG$90</f>
        <v/>
      </c>
      <c r="AY12">
        <f>beer_11!$Q$94</f>
        <v/>
      </c>
      <c r="AZ12">
        <f>beer_11!$S$93</f>
        <v/>
      </c>
    </row>
    <row r="13">
      <c r="A13" t="n">
        <v>12</v>
      </c>
      <c r="B13">
        <f>beer_12!$Q$7</f>
        <v/>
      </c>
      <c r="C13">
        <f>beer_12!$Q$10</f>
        <v/>
      </c>
      <c r="D13">
        <f>beer_12!$Q$12</f>
        <v/>
      </c>
      <c r="E13">
        <f>beer_12!$Q$14</f>
        <v/>
      </c>
      <c r="F13">
        <f>beer_12!$Q$16</f>
        <v/>
      </c>
      <c r="G13">
        <f>beer_12!$Q$20</f>
        <v/>
      </c>
      <c r="H13">
        <f>beer_12!$Q$23</f>
        <v/>
      </c>
      <c r="I13">
        <f>beer_12!$Q$25</f>
        <v/>
      </c>
      <c r="J13">
        <f>beer_12!$Q$27</f>
        <v/>
      </c>
      <c r="K13">
        <f>beer_12!$Q$29</f>
        <v/>
      </c>
      <c r="L13">
        <f>beer_12!$Q$33</f>
        <v/>
      </c>
      <c r="M13">
        <f>beer_12!$Q$36</f>
        <v/>
      </c>
      <c r="N13">
        <f>beer_12!$Q$38</f>
        <v/>
      </c>
      <c r="O13">
        <f>beer_12!$Q$40</f>
        <v/>
      </c>
      <c r="P13">
        <f>beer_12!$Q$42</f>
        <v/>
      </c>
      <c r="Q13">
        <f>beer_12!$AG$7</f>
        <v/>
      </c>
      <c r="R13">
        <f>beer_12!$AG$10</f>
        <v/>
      </c>
      <c r="S13">
        <f>beer_12!$AG$12</f>
        <v/>
      </c>
      <c r="T13">
        <f>beer_12!$AG$14</f>
        <v/>
      </c>
      <c r="U13">
        <f>beer_12!$AG$16</f>
        <v/>
      </c>
      <c r="V13">
        <f>beer_12!$AG$20</f>
        <v/>
      </c>
      <c r="W13">
        <f>beer_12!$AG$23</f>
        <v/>
      </c>
      <c r="X13">
        <f>beer_12!$AG$25</f>
        <v/>
      </c>
      <c r="Y13">
        <f>beer_12!$AG$27</f>
        <v/>
      </c>
      <c r="Z13">
        <f>beer_12!$AG$29</f>
        <v/>
      </c>
      <c r="AA13">
        <f>beer_12!$AG$33</f>
        <v/>
      </c>
      <c r="AB13">
        <f>beer_12!$AG$36</f>
        <v/>
      </c>
      <c r="AC13">
        <f>beer_12!$AG$38</f>
        <v/>
      </c>
      <c r="AD13">
        <f>beer_12!$AG$40</f>
        <v/>
      </c>
      <c r="AE13">
        <f>beer_12!$AG$42</f>
        <v/>
      </c>
      <c r="AF13">
        <f>beer_12!$Q$50</f>
        <v/>
      </c>
      <c r="AG13">
        <f>beer_12!$Q$54</f>
        <v/>
      </c>
      <c r="AH13">
        <f>beer_12!$Q$58</f>
        <v/>
      </c>
      <c r="AI13">
        <f>beer_12!$Q$62</f>
        <v/>
      </c>
      <c r="AJ13">
        <f>beer_12!$AG$50</f>
        <v/>
      </c>
      <c r="AK13">
        <f>beer_12!$AG$54</f>
        <v/>
      </c>
      <c r="AL13">
        <f>beer_12!$AG$58</f>
        <v/>
      </c>
      <c r="AM13">
        <f>beer_12!$Q$68</f>
        <v/>
      </c>
      <c r="AN13">
        <f>beer_12!$Q$72</f>
        <v/>
      </c>
      <c r="AO13">
        <f>beer_12!$Q$76</f>
        <v/>
      </c>
      <c r="AP13">
        <f>beer_12!$AG$68</f>
        <v/>
      </c>
      <c r="AQ13">
        <f>beer_12!$AG$72</f>
        <v/>
      </c>
      <c r="AR13">
        <f>beer_12!$AG$76</f>
        <v/>
      </c>
      <c r="AS13">
        <f>beer_12!$Q$82</f>
        <v/>
      </c>
      <c r="AT13">
        <f>beer_12!$Q$86</f>
        <v/>
      </c>
      <c r="AU13">
        <f>beer_12!$Q$90</f>
        <v/>
      </c>
      <c r="AV13">
        <f>beer_12!$AG$82</f>
        <v/>
      </c>
      <c r="AW13">
        <f>beer_12!$AG$86</f>
        <v/>
      </c>
      <c r="AX13">
        <f>beer_12!$AG$90</f>
        <v/>
      </c>
      <c r="AY13">
        <f>beer_12!$Q$94</f>
        <v/>
      </c>
      <c r="AZ13">
        <f>beer_12!$S$93</f>
        <v/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2015-12-16T13:15:59Z</dcterms:created>
  <dcterms:modified xmlns:dcterms="http://purl.org/dc/terms/" xmlns:xsi="http://www.w3.org/2001/XMLSchema-instance" xsi:type="dcterms:W3CDTF">2026-10-26T02:27:33Z</dcterms:modified>
  <cp:lastModifiedBy>Michiel Schreurs</cp:lastModifiedBy>
  <cp:revision>0</cp:revision>
</cp:coreProperties>
</file>